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Feature Spec" sheetId="3" state="visible" r:id="rId5"/>
    <sheet name="Targets" sheetId="4" state="visible" r:id="rId6"/>
    <sheet name="Models" sheetId="5" state="visible" r:id="rId7"/>
    <sheet name="Currency Notes" sheetId="6" state="visible" r:id="rId8"/>
    <sheet name="Data Sources" sheetId="7" state="visible" r:id="rId9"/>
    <sheet name="Stress Episodes" sheetId="8" state="visible" r:id="rId10"/>
    <sheet name="Road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<sst xmlns="http://schemas.openxmlformats.org/spreadsheetml/2006/main" count="1440" uniqueCount="805">
  <si>
    <t xml:space="preserve">Andean FX System v1 — Feature Specification (CLP, COP, PEN)</t>
  </si>
  <si>
    <t xml:space="preserve">Universe: USD/CLP, USD/COP, USD/PEN (offshore NDF + onshore reference) · Frequencies: 1h, 1d · Horizons: 1h to 20d</t>
  </si>
  <si>
    <t xml:space="preserve">Purpose</t>
  </si>
  <si>
    <t xml:space="preserve">Engineering spec for every model input for an Andean FX system (USD/CLP, USD/COP, USD/PEN): definition, source, frequency, lookback, transformation, availability time, leakage rule and which models consume it.</t>
  </si>
  <si>
    <t xml:space="preserve">What changed vs the BRL/MXN version</t>
  </si>
  <si>
    <t xml:space="preserve">Added PEN. Dropped the order-book microstructure block and the intraday TCN/Mamba model (no deep public order book in these markets). Added BCRP intervention, COP offshore NDF positioning, CLP/COP/PEN pension-fund (AFP) flows, Peru pension-withdrawal events, fixing deviation, onshore/offshore session split, and a political-risk block. Regime model cut to 5 states.</t>
  </si>
  <si>
    <t xml:space="preserve">Tabs</t>
  </si>
  <si>
    <t xml:space="preserve">Summary · Feature Spec · Targets · Models · Currency Notes · Data Sources · Stress Episodes · Roadmap</t>
  </si>
  <si>
    <t xml:space="preserve">Feature count</t>
  </si>
  <si>
    <t xml:space="preserve">Each row is a feature family. 'Variants per ccy' × '# Ccys' = model columns it generates. Summary tab totals these; edit variants (blue) to resize the set.</t>
  </si>
  <si>
    <t xml:space="preserve">Timestamp convention</t>
  </si>
  <si>
    <t xml:space="preserve">Store everything in UTC with event time (what the value describes) and availability time (when you could first have used it). Every join uses availability time. Keep first-release vintages.</t>
  </si>
  <si>
    <t xml:space="preserve">Decision convention</t>
  </si>
  <si>
    <t xml:space="preserve">One daily decision snapshot late in the Andean onshore sessions (default 12:30 New York; configurable). Signals use data available before the snapshot; trades execute after it.</t>
  </si>
  <si>
    <t xml:space="preserve">Leakage rules</t>
  </si>
  <si>
    <t xml:space="preserve">Releases usable only from publication time + buffer; revised data never used in backtests; HMM uses filtered probabilities; scalers, betas, PCA, cointegration and NLP models fit on training windows only.</t>
  </si>
  <si>
    <t xml:space="preserve">Priority</t>
  </si>
  <si>
    <t xml:space="preserve">P1 = build first · P2 = second wave · P3 = only if it survives the incremental-alpha test</t>
  </si>
  <si>
    <t xml:space="preserve">Model codes</t>
  </si>
  <si>
    <t xml:space="preserve">PAT = PatchTST (hourly, pooled with helper ccys) · TFT = Temporal Fusion Transformer (daily) · XGB = LightGBM/XGBoost · HMM = regime model · EXE = execution scheduler (timing vs local session/fixings, dealer quotes)</t>
  </si>
  <si>
    <t xml:space="preserve">Editable inputs</t>
  </si>
  <si>
    <t xml:space="preserve">Blue text = hardcoded inputs you can change (variants per ccy, cost estimates). Black = formulas.</t>
  </si>
  <si>
    <t xml:space="preserve">Caveat</t>
  </si>
  <si>
    <t xml:space="preserve">Series names, publication times, lags and cost figures are best estimates. Verify each against the current central-bank releases and your dealers before production. BCRP instrument names in particular change over time.</t>
  </si>
  <si>
    <t xml:space="preserve">Feature set summary</t>
  </si>
  <si>
    <t xml:space="preserve">All figures are formulas over the Feature Spec tab.</t>
  </si>
  <si>
    <t xml:space="preserve">Feature families</t>
  </si>
  <si>
    <t xml:space="preserve">Total model columns</t>
  </si>
  <si>
    <t xml:space="preserve">Block</t>
  </si>
  <si>
    <t xml:space="preserve">Families</t>
  </si>
  <si>
    <t xml:space="preserve">Columns</t>
  </si>
  <si>
    <t xml:space="preserve">% of columns</t>
  </si>
  <si>
    <t xml:space="preserve">PX Price &amp; returns</t>
  </si>
  <si>
    <t xml:space="preserve">CR Carry &amp; forwards</t>
  </si>
  <si>
    <t xml:space="preserve">RT Local rates</t>
  </si>
  <si>
    <t xml:space="preserve">VS Options &amp; vol</t>
  </si>
  <si>
    <t xml:space="preserve">PF Positioning &amp; flows</t>
  </si>
  <si>
    <t xml:space="preserve">CB Central bank &amp; intervention</t>
  </si>
  <si>
    <t xml:space="preserve">MA Macro surprises</t>
  </si>
  <si>
    <t xml:space="preserve">CM Commodities</t>
  </si>
  <si>
    <t xml:space="preserve">GL Global risk &amp; USD</t>
  </si>
  <si>
    <t xml:space="preserve">XS Cross-sectional &amp; RV</t>
  </si>
  <si>
    <t xml:space="preserve">VL Value &amp; fundamentals</t>
  </si>
  <si>
    <t xml:space="preserve">CAL Calendar &amp; seasonality</t>
  </si>
  <si>
    <t xml:space="preserve">PO Political risk</t>
  </si>
  <si>
    <t xml:space="preserve">TX Text &amp; NLP</t>
  </si>
  <si>
    <t xml:space="preserve">RG Regime &amp; meta</t>
  </si>
  <si>
    <t xml:space="preserve">Total</t>
  </si>
  <si>
    <t xml:space="preserve">P1</t>
  </si>
  <si>
    <t xml:space="preserve">P2</t>
  </si>
  <si>
    <t xml:space="preserve">P3</t>
  </si>
  <si>
    <t xml:space="preserve">Model</t>
  </si>
  <si>
    <t xml:space="preserve">Families used</t>
  </si>
  <si>
    <t xml:space="preserve">Columns used</t>
  </si>
  <si>
    <t xml:space="preserve">PatchTST (hourly)</t>
  </si>
  <si>
    <t xml:space="preserve">TFT (daily)</t>
  </si>
  <si>
    <t xml:space="preserve">LightGBM / XGBoost</t>
  </si>
  <si>
    <t xml:space="preserve">HMM regime</t>
  </si>
  <si>
    <t xml:space="preserve">Execution scheduler</t>
  </si>
  <si>
    <t xml:space="preserve">Sample-size check: ~15y of daily data × 3 ccys ≈ 11k correlated rows. Daily models (TFT, XGB) should see a pruned subset (target &lt; 100 columns after feature selection); intraday models get the high-frequency blocks.</t>
  </si>
  <si>
    <t xml:space="preserve">ID</t>
  </si>
  <si>
    <t xml:space="preserve">Feature</t>
  </si>
  <si>
    <t xml:space="preserve">Definition / formula</t>
  </si>
  <si>
    <t xml:space="preserve">Currencies</t>
  </si>
  <si>
    <t xml:space="preserve"># Ccys</t>
  </si>
  <si>
    <t xml:space="preserve">Variants per ccy</t>
  </si>
  <si>
    <t xml:space="preserve">Total columns</t>
  </si>
  <si>
    <t xml:space="preserve">Source</t>
  </si>
  <si>
    <t xml:space="preserve">Native freq</t>
  </si>
  <si>
    <t xml:space="preserve">Model freq</t>
  </si>
  <si>
    <t xml:space="preserve">Lookbacks / params</t>
  </si>
  <si>
    <t xml:space="preserve">Transformation</t>
  </si>
  <si>
    <t xml:space="preserve">Availability / publication lag</t>
  </si>
  <si>
    <t xml:space="preserve">Leakage rule</t>
  </si>
  <si>
    <t xml:space="preserve">PAT</t>
  </si>
  <si>
    <t xml:space="preserve">TFT</t>
  </si>
  <si>
    <t xml:space="preserve">XGB</t>
  </si>
  <si>
    <t xml:space="preserve">HMM</t>
  </si>
  <si>
    <t xml:space="preserve">EXE</t>
  </si>
  <si>
    <t xml:space="preserve">Notes</t>
  </si>
  <si>
    <t xml:space="preserve">PX-01</t>
  </si>
  <si>
    <t xml:space="preserve">Log return</t>
  </si>
  <si>
    <t xml:space="preserve">ln(S_t / S_{t-k}) on onshore spot in local session, NDF 1M mid otherwise</t>
  </si>
  <si>
    <t xml:space="preserve">ALL</t>
  </si>
  <si>
    <t xml:space="preserve">Datatec (CLP, PEN), SET-FX (COP), dealer NDF quotes</t>
  </si>
  <si>
    <t xml:space="preserve">1h</t>
  </si>
  <si>
    <t xml:space="preserve">1h,1d</t>
  </si>
  <si>
    <t xml:space="preserve">k = 1, 4 (1h); 1, 5, 20 (1d); session return</t>
  </si>
  <si>
    <t xml:space="preserve">Winsorize 5 sigma</t>
  </si>
  <si>
    <t xml:space="preserve">Real time</t>
  </si>
  <si>
    <t xml:space="preserve">Compute on bars closed at or before t; trade from bar t+1.</t>
  </si>
  <si>
    <t xml:space="preserve">Build one continuous series: onshore spot when open, NDF-implied spot otherwise; flag the source</t>
  </si>
  <si>
    <t xml:space="preserve">PX-02</t>
  </si>
  <si>
    <t xml:space="preserve">Vol-scaled momentum</t>
  </si>
  <si>
    <t xml:space="preserve">r_{t-k,t} / (sigma_k * sqrt(k))</t>
  </si>
  <si>
    <t xml:space="preserve">Derived</t>
  </si>
  <si>
    <t xml:space="preserve">1d</t>
  </si>
  <si>
    <t xml:space="preserve">k = 5, 20, 60, 120 d</t>
  </si>
  <si>
    <t xml:space="preserve">Clip +/-4</t>
  </si>
  <si>
    <t xml:space="preserve">Snapshot</t>
  </si>
  <si>
    <t xml:space="preserve">Value as of the daily decision snapshot; if source updates after it, use prior snapshot.</t>
  </si>
  <si>
    <t xml:space="preserve">Core factor</t>
  </si>
  <si>
    <t xml:space="preserve">PX-03</t>
  </si>
  <si>
    <t xml:space="preserve">Realized volatility</t>
  </si>
  <si>
    <t xml:space="preserve">Annualized RV from hourly (or daily) returns</t>
  </si>
  <si>
    <t xml:space="preserve">5d, 20d, 60d</t>
  </si>
  <si>
    <t xml:space="preserve">log</t>
  </si>
  <si>
    <t xml:space="preserve">PEN RV is suppressed by BCRP; compare to implied vol</t>
  </si>
  <si>
    <t xml:space="preserve">PX-04</t>
  </si>
  <si>
    <t xml:space="preserve">Range volatility</t>
  </si>
  <si>
    <t xml:space="preserve">Garman-Klass on onshore OHLC</t>
  </si>
  <si>
    <t xml:space="preserve">Onshore OHLC</t>
  </si>
  <si>
    <t xml:space="preserve">5d, 20d</t>
  </si>
  <si>
    <t xml:space="preserve">After onshore close</t>
  </si>
  <si>
    <t xml:space="preserve">Robust to thin intraday data</t>
  </si>
  <si>
    <t xml:space="preserve">PX-05</t>
  </si>
  <si>
    <t xml:space="preserve">Jump indicator</t>
  </si>
  <si>
    <t xml:space="preserve">|r_d| &gt; 3 sigma_60d flag and count over window</t>
  </si>
  <si>
    <t xml:space="preserve">Flag; 60d count</t>
  </si>
  <si>
    <t xml:space="preserve">None</t>
  </si>
  <si>
    <t xml:space="preserve">Captures gap risk hidden by smoothing (esp. PEN)</t>
  </si>
  <si>
    <t xml:space="preserve">PX-06</t>
  </si>
  <si>
    <t xml:space="preserve">Distance from moving average</t>
  </si>
  <si>
    <t xml:space="preserve">(S_t - MA_k) / sigma_20d</t>
  </si>
  <si>
    <t xml:space="preserve">k = 20, 50, 200 d</t>
  </si>
  <si>
    <t xml:space="preserve">PX-07</t>
  </si>
  <si>
    <t xml:space="preserve">Range position</t>
  </si>
  <si>
    <t xml:space="preserve">(S_t - min_N) / (max_N - min_N)</t>
  </si>
  <si>
    <t xml:space="preserve">N = 20, 60 d</t>
  </si>
  <si>
    <t xml:space="preserve">Breakout signal</t>
  </si>
  <si>
    <t xml:space="preserve">PX-08</t>
  </si>
  <si>
    <t xml:space="preserve">Onshore vs offshore session return</t>
  </si>
  <si>
    <t xml:space="preserve">Onshore-session return vs overnight NDF-implied move</t>
  </si>
  <si>
    <t xml:space="preserve">Onshore spot + NDF</t>
  </si>
  <si>
    <t xml:space="preserve">1d; 5d sum</t>
  </si>
  <si>
    <t xml:space="preserve">Offshore pressure vs local flow; key for all three NDF markets</t>
  </si>
  <si>
    <t xml:space="preserve">PX-09</t>
  </si>
  <si>
    <t xml:space="preserve">Fixing deviation</t>
  </si>
  <si>
    <t xml:space="preserve">Spot at snapshot - official fix (dólar observado / TRM / BCRP ref. rate), in bps</t>
  </si>
  <si>
    <t xml:space="preserve">BCCh, BanRep/Superfinanciera, BCRP</t>
  </si>
  <si>
    <t xml:space="preserve">Level; 5d mean</t>
  </si>
  <si>
    <t xml:space="preserve">z-score</t>
  </si>
  <si>
    <t xml:space="preserve">Fix published per CB rules</t>
  </si>
  <si>
    <t xml:space="preserve">Usable only from actual publication timestamp + buffer; never align to reference date.</t>
  </si>
  <si>
    <t xml:space="preserve">CLP dólar observado and COP TRM are set from the prior day's trades</t>
  </si>
  <si>
    <t xml:space="preserve">CR-01</t>
  </si>
  <si>
    <t xml:space="preserve">NDF-implied yield</t>
  </si>
  <si>
    <t xml:space="preserve">i_loc = ((F/S)*(1 + i_usd*tau) - 1)/tau from offshore NDF curve</t>
  </si>
  <si>
    <t xml:space="preserve">Dealer NDF quotes / Bloomberg</t>
  </si>
  <si>
    <t xml:space="preserve">1M, 3M, 12M</t>
  </si>
  <si>
    <t xml:space="preserve">CR-02</t>
  </si>
  <si>
    <t xml:space="preserve">Carry</t>
  </si>
  <si>
    <t xml:space="preserve">i_loc(3M) - SOFR(3M)</t>
  </si>
  <si>
    <t xml:space="preserve">3M</t>
  </si>
  <si>
    <t xml:space="preserve">CR-03</t>
  </si>
  <si>
    <t xml:space="preserve">Carry-to-vol</t>
  </si>
  <si>
    <t xml:space="preserve">Carry / 3M implied vol (realized vol where options too thin, e.g. PEN)</t>
  </si>
  <si>
    <t xml:space="preserve">Cross-sectional rank also</t>
  </si>
  <si>
    <t xml:space="preserve">CR-04</t>
  </si>
  <si>
    <t xml:space="preserve">Onshore-offshore basis</t>
  </si>
  <si>
    <t xml:space="preserve">Onshore forward-implied yield minus offshore NDF-implied yield</t>
  </si>
  <si>
    <t xml:space="preserve">Local dealer fwd quotes, NDF quotes</t>
  </si>
  <si>
    <t xml:space="preserve">Level; 5d change</t>
  </si>
  <si>
    <t xml:space="preserve">z-score vs 1y</t>
  </si>
  <si>
    <t xml:space="preserve">Dollar scarcity / convertibility stress; onshore quotes may need a local dealer</t>
  </si>
  <si>
    <t xml:space="preserve">CR-05</t>
  </si>
  <si>
    <t xml:space="preserve">Change in implied yield</t>
  </si>
  <si>
    <t xml:space="preserve">Delta i_loc(3M)</t>
  </si>
  <si>
    <t xml:space="preserve">CR-06</t>
  </si>
  <si>
    <t xml:space="preserve">Forward curve slope</t>
  </si>
  <si>
    <t xml:space="preserve">i_loc(12M) - i_loc(1M)</t>
  </si>
  <si>
    <t xml:space="preserve">RT-01</t>
  </si>
  <si>
    <t xml:space="preserve">Local curve levels</t>
  </si>
  <si>
    <t xml:space="preserve">CLP: cámara swap; COP: IBR OIS / TES; PEN: BCRP interbank / sovereign bonds (soberanos)</t>
  </si>
  <si>
    <t xml:space="preserve">Broker screens, Bloomberg, CB statistics</t>
  </si>
  <si>
    <t xml:space="preserve">1y, 2y, 5y</t>
  </si>
  <si>
    <t xml:space="preserve">Daily change also</t>
  </si>
  <si>
    <t xml:space="preserve">Daily close</t>
  </si>
  <si>
    <t xml:space="preserve">PEN swap curve thin: use sovereign bond yields</t>
  </si>
  <si>
    <t xml:space="preserve">RT-02</t>
  </si>
  <si>
    <t xml:space="preserve">Rate differential vs US</t>
  </si>
  <si>
    <t xml:space="preserve">Local 2y - UST 2y</t>
  </si>
  <si>
    <t xml:space="preserve">Level; 20d change</t>
  </si>
  <si>
    <t xml:space="preserve">RT-03</t>
  </si>
  <si>
    <t xml:space="preserve">Curve slope</t>
  </si>
  <si>
    <t xml:space="preserve">5y - 1y local</t>
  </si>
  <si>
    <t xml:space="preserve">COP steepening = fiscal stress</t>
  </si>
  <si>
    <t xml:space="preserve">RT-04</t>
  </si>
  <si>
    <t xml:space="preserve">Policy path priced</t>
  </si>
  <si>
    <t xml:space="preserve">Implied rate at next 2 meetings - current policy rate</t>
  </si>
  <si>
    <t xml:space="preserve">CLP, COP</t>
  </si>
  <si>
    <t xml:space="preserve">Derived from swap curve</t>
  </si>
  <si>
    <t xml:space="preserve">Next meeting; 6M</t>
  </si>
  <si>
    <t xml:space="preserve">PEN: use analyst survey instead (thin curve)</t>
  </si>
  <si>
    <t xml:space="preserve">RT-05</t>
  </si>
  <si>
    <t xml:space="preserve">Real policy rate</t>
  </si>
  <si>
    <t xml:space="preserve">Policy rate - 12m inflation expectation</t>
  </si>
  <si>
    <t xml:space="preserve">BCCh EEE, BanRep survey, BCRP expectations survey</t>
  </si>
  <si>
    <t xml:space="preserve">Monthly</t>
  </si>
  <si>
    <t xml:space="preserve">Forward-fill</t>
  </si>
  <si>
    <t xml:space="preserve">On survey release</t>
  </si>
  <si>
    <t xml:space="preserve">RT-06</t>
  </si>
  <si>
    <t xml:space="preserve">Sovereign CDS</t>
  </si>
  <si>
    <t xml:space="preserve">5y USD CDS level and change</t>
  </si>
  <si>
    <t xml:space="preserve">Markit / Bloomberg</t>
  </si>
  <si>
    <t xml:space="preserve">EOD, often next morning</t>
  </si>
  <si>
    <t xml:space="preserve">Lag 1 day unless intraday feed</t>
  </si>
  <si>
    <t xml:space="preserve">RT-07</t>
  </si>
  <si>
    <t xml:space="preserve">Local bond foreign holdings</t>
  </si>
  <si>
    <t xml:space="preserve">Non-resident holdings of TES (COP), soberanos (PEN), BTP/BTU (CLP)</t>
  </si>
  <si>
    <t xml:space="preserve">MinHacienda/BanRep, BCRP/MEF, BCCh/DCV</t>
  </si>
  <si>
    <t xml:space="preserve">Weekly/Monthly</t>
  </si>
  <si>
    <t xml:space="preserve">Level % of stock; 4w change</t>
  </si>
  <si>
    <t xml:space="preserve">Published with lag (verify per source)</t>
  </si>
  <si>
    <t xml:space="preserve">Big driver in COP and PEN selloffs</t>
  </si>
  <si>
    <t xml:space="preserve">VS-01</t>
  </si>
  <si>
    <t xml:space="preserve">ATM implied vol</t>
  </si>
  <si>
    <t xml:space="preserve">ATM vol by tenor</t>
  </si>
  <si>
    <t xml:space="preserve">Dealer / Bloomberg vol surface</t>
  </si>
  <si>
    <t xml:space="preserve">1M, 3M, 1Y</t>
  </si>
  <si>
    <t xml:space="preserve">PEN options very thin; use realized vol + BCRP intervention intensity instead</t>
  </si>
  <si>
    <t xml:space="preserve">VS-02</t>
  </si>
  <si>
    <t xml:space="preserve">25d risk reversal</t>
  </si>
  <si>
    <t xml:space="preserve">25-delta USD call vol - put vol</t>
  </si>
  <si>
    <t xml:space="preserve">Vol surface</t>
  </si>
  <si>
    <t xml:space="preserve">1M level; 1d, 5d change</t>
  </si>
  <si>
    <t xml:space="preserve">Leading fear gauge</t>
  </si>
  <si>
    <t xml:space="preserve">VS-03</t>
  </si>
  <si>
    <t xml:space="preserve">Vol term slope</t>
  </si>
  <si>
    <t xml:space="preserve">1M - 3M ATM vol</t>
  </si>
  <si>
    <t xml:space="preserve">Inversion = stress</t>
  </si>
  <si>
    <t xml:space="preserve">VS-04</t>
  </si>
  <si>
    <t xml:space="preserve">Variance risk premium</t>
  </si>
  <si>
    <t xml:space="preserve">ATM IV 1M - RV 20d</t>
  </si>
  <si>
    <t xml:space="preserve">PF-01</t>
  </si>
  <si>
    <t xml:space="preserve">CLP pension fund FX forwards</t>
  </si>
  <si>
    <t xml:space="preserve">AFP net forward USD sales (hedge ratio) and change</t>
  </si>
  <si>
    <t xml:space="preserve">CLP</t>
  </si>
  <si>
    <t xml:space="preserve">BCCh statistics / Superintendencia de Pensiones</t>
  </si>
  <si>
    <t xml:space="preserve">Level; 4w change; % of FX assets</t>
  </si>
  <si>
    <t xml:space="preserve">z-score vs 3y</t>
  </si>
  <si>
    <t xml:space="preserve">On release (verify cadence and lag)</t>
  </si>
  <si>
    <t xml:space="preserve">AFP hedging shifts are large vs market depth; also watch multifund switching</t>
  </si>
  <si>
    <t xml:space="preserve">PF-02</t>
  </si>
  <si>
    <t xml:space="preserve">COP offshore NDF positioning</t>
  </si>
  <si>
    <t xml:space="preserve">Offshore agents' net forward USD purchases/sales with local banks</t>
  </si>
  <si>
    <t xml:space="preserve">COP</t>
  </si>
  <si>
    <t xml:space="preserve">BanRep derivatives statistics</t>
  </si>
  <si>
    <t xml:space="preserve">Weekly</t>
  </si>
  <si>
    <t xml:space="preserve">Level z; 1w, 4w change</t>
  </si>
  <si>
    <t xml:space="preserve">z-score vs 2y</t>
  </si>
  <si>
    <t xml:space="preserve">On release (verify day/lag)</t>
  </si>
  <si>
    <t xml:space="preserve">Crowding / reversal signal; one of the best public COP flow series</t>
  </si>
  <si>
    <t xml:space="preserve">PF-03</t>
  </si>
  <si>
    <t xml:space="preserve">COP pension fund positions</t>
  </si>
  <si>
    <t xml:space="preserve">AFP net forward USD position</t>
  </si>
  <si>
    <t xml:space="preserve">BanRep / Superfinanciera</t>
  </si>
  <si>
    <t xml:space="preserve">Level; change</t>
  </si>
  <si>
    <t xml:space="preserve">On release</t>
  </si>
  <si>
    <t xml:space="preserve">PF-04</t>
  </si>
  <si>
    <t xml:space="preserve">PEN pension fund flows</t>
  </si>
  <si>
    <t xml:space="preserve">AFP FX position and asset sales; withdrawal (retiro) payouts</t>
  </si>
  <si>
    <t xml:space="preserve">PEN</t>
  </si>
  <si>
    <t xml:space="preserve">BCRP, SBS</t>
  </si>
  <si>
    <t xml:space="preserve">Position; 4w change; withdrawal event flag</t>
  </si>
  <si>
    <t xml:space="preserve">Withdrawal laws forced large AFP USD sales</t>
  </si>
  <si>
    <t xml:space="preserve">PF-05</t>
  </si>
  <si>
    <t xml:space="preserve">PEN dollarization</t>
  </si>
  <si>
    <t xml:space="preserve">Share of deposits/credit in USD; change</t>
  </si>
  <si>
    <t xml:space="preserve">BCRP</t>
  </si>
  <si>
    <t xml:space="preserve">Level; 3m change</t>
  </si>
  <si>
    <t xml:space="preserve">Slow structural demand for USD</t>
  </si>
  <si>
    <t xml:space="preserve">PF-06</t>
  </si>
  <si>
    <t xml:space="preserve">Local corporate / bank FX demand</t>
  </si>
  <si>
    <t xml:space="preserve">Banks' spot + forward FX position; corporate forward purchases</t>
  </si>
  <si>
    <t xml:space="preserve">BCCh formal FX market, BanRep, BCRP</t>
  </si>
  <si>
    <t xml:space="preserve">Daily/Weekly</t>
  </si>
  <si>
    <t xml:space="preserve">PF-07</t>
  </si>
  <si>
    <t xml:space="preserve">Mining &amp; oil export flows</t>
  </si>
  <si>
    <t xml:space="preserve">Export receipts proxy: copper export values (CLP, PEN), oil exports (COP)</t>
  </si>
  <si>
    <t xml:space="preserve">Customs / CB trade stats</t>
  </si>
  <si>
    <t xml:space="preserve">3m change</t>
  </si>
  <si>
    <t xml:space="preserve">PF-08</t>
  </si>
  <si>
    <t xml:space="preserve">EM fund flows</t>
  </si>
  <si>
    <t xml:space="preserve">Country bond and equity fund flows</t>
  </si>
  <si>
    <t xml:space="preserve">EPFR (paid)</t>
  </si>
  <si>
    <t xml:space="preserve">4w sum</t>
  </si>
  <si>
    <t xml:space="preserve">Optional if budget allows</t>
  </si>
  <si>
    <t xml:space="preserve">CB-01</t>
  </si>
  <si>
    <t xml:space="preserve">BCRP intervention (spot)</t>
  </si>
  <si>
    <t xml:space="preserve">Net BCRP spot USD sales(-)/purchases(+) in interbank market, USD mn</t>
  </si>
  <si>
    <t xml:space="preserve">BCRP daily operations</t>
  </si>
  <si>
    <t xml:space="preserve">Day; 5d sum; 20d sum</t>
  </si>
  <si>
    <t xml:space="preserve">Scale by 20d ADV</t>
  </si>
  <si>
    <t xml:space="preserve">Same day, after operations (verify time)</t>
  </si>
  <si>
    <t xml:space="preserve">The core PEN signal: BCRP smooths moves, so intervention reveals pressure</t>
  </si>
  <si>
    <t xml:space="preserve">CB-02</t>
  </si>
  <si>
    <t xml:space="preserve">BCRP intervention (derivatives)</t>
  </si>
  <si>
    <t xml:space="preserve">Net new placement of FX swaps (swaps cambiarios), CDR-type instruments, USD mn</t>
  </si>
  <si>
    <t xml:space="preserve">Day; 5d sum; outstanding stock</t>
  </si>
  <si>
    <t xml:space="preserve">Scale by ADV</t>
  </si>
  <si>
    <t xml:space="preserve">Same day (verify time)</t>
  </si>
  <si>
    <t xml:space="preserve">Verify instrument names against current BCRP releases</t>
  </si>
  <si>
    <t xml:space="preserve">CB-03</t>
  </si>
  <si>
    <t xml:space="preserve">BCRP intervention probability target</t>
  </si>
  <si>
    <t xml:space="preserve">P(BCRP intervenes tomorrow) from a separate classifier</t>
  </si>
  <si>
    <t xml:space="preserve">Model output</t>
  </si>
  <si>
    <t xml:space="preserve">logit</t>
  </si>
  <si>
    <t xml:space="preserve">After model run</t>
  </si>
  <si>
    <t xml:space="preserve">Also a target; see Targets tab</t>
  </si>
  <si>
    <t xml:space="preserve">CB-04</t>
  </si>
  <si>
    <t xml:space="preserve">BCCh FX program</t>
  </si>
  <si>
    <t xml:space="preserve">Program active flag; daily spot sales/swaps executed</t>
  </si>
  <si>
    <t xml:space="preserve">BCCh announcements &amp; statistics</t>
  </si>
  <si>
    <t xml:space="preserve">Event/1d</t>
  </si>
  <si>
    <t xml:space="preserve">Flag; 5d cumulative</t>
  </si>
  <si>
    <t xml:space="preserve">At announcement / publication time</t>
  </si>
  <si>
    <t xml:space="preserve">Programs in 2019, 2022 etc.; rare but decisive</t>
  </si>
  <si>
    <t xml:space="preserve">CB-05</t>
  </si>
  <si>
    <t xml:space="preserve">BanRep FX operations</t>
  </si>
  <si>
    <t xml:space="preserve">Reserve accumulation auctions, FX swaps/NDF auctions</t>
  </si>
  <si>
    <t xml:space="preserve">BanRep announcements</t>
  </si>
  <si>
    <t xml:space="preserve">Event</t>
  </si>
  <si>
    <t xml:space="preserve">Flag; 20d cumulative</t>
  </si>
  <si>
    <t xml:space="preserve">At announcement time</t>
  </si>
  <si>
    <t xml:space="preserve">CB-06</t>
  </si>
  <si>
    <t xml:space="preserve">Days to policy meeting</t>
  </si>
  <si>
    <t xml:space="preserve">Business days to next BCCh / BanRep / BCRP decision</t>
  </si>
  <si>
    <t xml:space="preserve">CB calendars</t>
  </si>
  <si>
    <t xml:space="preserve">Calendar</t>
  </si>
  <si>
    <t xml:space="preserve">Known future</t>
  </si>
  <si>
    <t xml:space="preserve">Known in advance</t>
  </si>
  <si>
    <t xml:space="preserve">Only if calendar was published before t</t>
  </si>
  <si>
    <t xml:space="preserve">CB-07</t>
  </si>
  <si>
    <t xml:space="preserve">Policy decision surprise</t>
  </si>
  <si>
    <t xml:space="preserve">Actual decision - market/survey expectation</t>
  </si>
  <si>
    <t xml:space="preserve">Last decision</t>
  </si>
  <si>
    <t xml:space="preserve">Decay half-life 10d</t>
  </si>
  <si>
    <t xml:space="preserve">At decision timestamp</t>
  </si>
  <si>
    <t xml:space="preserve">CB-08</t>
  </si>
  <si>
    <t xml:space="preserve">FX reserves change</t>
  </si>
  <si>
    <t xml:space="preserve">Change in net international reserves</t>
  </si>
  <si>
    <t xml:space="preserve">CB statistics</t>
  </si>
  <si>
    <t xml:space="preserve">BCRP publishes frequently</t>
  </si>
  <si>
    <t xml:space="preserve">MA-01</t>
  </si>
  <si>
    <t xml:space="preserve">Local data surprise</t>
  </si>
  <si>
    <t xml:space="preserve">(Actual - consensus)/stdev of surprises: CPI, activity (IMACEC, ISE, Peru monthly GDP), trade balance</t>
  </si>
  <si>
    <t xml:space="preserve">Bloomberg ECO consensus</t>
  </si>
  <si>
    <t xml:space="preserve">3 categories</t>
  </si>
  <si>
    <t xml:space="preserve">Decayed sum, half-life 20d</t>
  </si>
  <si>
    <t xml:space="preserve">At release timestamp</t>
  </si>
  <si>
    <t xml:space="preserve">MA-02</t>
  </si>
  <si>
    <t xml:space="preserve">US data surprise</t>
  </si>
  <si>
    <t xml:space="preserve">Surprise for NFP, CPI, ISM, retail sales</t>
  </si>
  <si>
    <t xml:space="preserve">Global</t>
  </si>
  <si>
    <t xml:space="preserve">Bloomberg ECO</t>
  </si>
  <si>
    <t xml:space="preserve">Event; decayed 20d</t>
  </si>
  <si>
    <t xml:space="preserve">MA-03</t>
  </si>
  <si>
    <t xml:space="preserve">China data surprise</t>
  </si>
  <si>
    <t xml:space="preserve">Surprise for China PMI, credit, industrial production</t>
  </si>
  <si>
    <t xml:space="preserve">Copper demand channel for CLP and PEN</t>
  </si>
  <si>
    <t xml:space="preserve">MA-04</t>
  </si>
  <si>
    <t xml:space="preserve">Terms of trade index</t>
  </si>
  <si>
    <t xml:space="preserve">Export-weighted commodity basket per country</t>
  </si>
  <si>
    <t xml:space="preserve">Derived from commodity prices + trade weights</t>
  </si>
  <si>
    <t xml:space="preserve">Level z; 20d change</t>
  </si>
  <si>
    <t xml:space="preserve">Weights fixed per year from prior-year trade data</t>
  </si>
  <si>
    <t xml:space="preserve">MA-05</t>
  </si>
  <si>
    <t xml:space="preserve">Fiscal surprise / fiscal rule</t>
  </si>
  <si>
    <t xml:space="preserve">Fiscal balance vs target; fiscal-rule changes or suspensions</t>
  </si>
  <si>
    <t xml:space="preserve">Treasury / MinHacienda / MEF releases</t>
  </si>
  <si>
    <t xml:space="preserve">Monthly/Event</t>
  </si>
  <si>
    <t xml:space="preserve">Surprise; event flag</t>
  </si>
  <si>
    <t xml:space="preserve">Decay half-life 20d</t>
  </si>
  <si>
    <t xml:space="preserve">Very important for COP</t>
  </si>
  <si>
    <t xml:space="preserve">CM-01</t>
  </si>
  <si>
    <t xml:space="preserve">Commodity returns</t>
  </si>
  <si>
    <t xml:space="preserve">Log returns: copper (CLP, PEN), gold &amp; zinc (PEN), Brent (COP), coffee (COP)</t>
  </si>
  <si>
    <t xml:space="preserve">COMEX/LME, ICE, CME</t>
  </si>
  <si>
    <t xml:space="preserve">1h/1d</t>
  </si>
  <si>
    <t xml:space="preserve">5 commodities x (1d, 5d)</t>
  </si>
  <si>
    <t xml:space="preserve">Real time / daily</t>
  </si>
  <si>
    <t xml:space="preserve">CM-02</t>
  </si>
  <si>
    <t xml:space="preserve">Commodity-beta residual</t>
  </si>
  <si>
    <t xml:space="preserve">Cum residual of ccy return regressed on own commodity + DXY (rolling OLS)</t>
  </si>
  <si>
    <t xml:space="preserve">Beta window 60d; residual z over 20d</t>
  </si>
  <si>
    <t xml:space="preserve">Mean-reversion signal; betas estimated only on past data. CLP vs copper is the classic trade</t>
  </si>
  <si>
    <t xml:space="preserve">CM-03</t>
  </si>
  <si>
    <t xml:space="preserve">Rolling commodity beta</t>
  </si>
  <si>
    <t xml:space="preserve">Beta to main commodity</t>
  </si>
  <si>
    <t xml:space="preserve">60d</t>
  </si>
  <si>
    <t xml:space="preserve">CM-04</t>
  </si>
  <si>
    <t xml:space="preserve">Copper curve &amp; inventories</t>
  </si>
  <si>
    <t xml:space="preserve">LME copper 3M-cash spread; LME/COMEX/SHFE inventories change</t>
  </si>
  <si>
    <t xml:space="preserve">LME, COMEX, SHFE</t>
  </si>
  <si>
    <t xml:space="preserve">1d/Weekly</t>
  </si>
  <si>
    <t xml:space="preserve">Daily / on release</t>
  </si>
  <si>
    <t xml:space="preserve">Physical tightness signal</t>
  </si>
  <si>
    <t xml:space="preserve">GL-01</t>
  </si>
  <si>
    <t xml:space="preserve">USD index returns</t>
  </si>
  <si>
    <t xml:space="preserve">DXY / BBDXY log return</t>
  </si>
  <si>
    <t xml:space="preserve">ICE / Bloomberg</t>
  </si>
  <si>
    <t xml:space="preserve">1h, 1d, 5d</t>
  </si>
  <si>
    <t xml:space="preserve">GL-02</t>
  </si>
  <si>
    <t xml:space="preserve">US yields</t>
  </si>
  <si>
    <t xml:space="preserve">UST 2y, 10y changes</t>
  </si>
  <si>
    <t xml:space="preserve">Treasury futures / Bloomberg</t>
  </si>
  <si>
    <t xml:space="preserve">2 yields x (1d, 5d)</t>
  </si>
  <si>
    <t xml:space="preserve">bp change</t>
  </si>
  <si>
    <t xml:space="preserve">GL-03</t>
  </si>
  <si>
    <t xml:space="preserve">Risk gauges</t>
  </si>
  <si>
    <t xml:space="preserve">VIX level &amp; change, US HY spread, EMBI spread change</t>
  </si>
  <si>
    <t xml:space="preserve">CBOE, ICE, JPM</t>
  </si>
  <si>
    <t xml:space="preserve">log / z</t>
  </si>
  <si>
    <t xml:space="preserve">GL-04</t>
  </si>
  <si>
    <t xml:space="preserve">USD/CNH</t>
  </si>
  <si>
    <t xml:space="preserve">USD/CNH return</t>
  </si>
  <si>
    <t xml:space="preserve">LSEG / Bloomberg</t>
  </si>
  <si>
    <t xml:space="preserve">1d, 5d</t>
  </si>
  <si>
    <t xml:space="preserve">China channel</t>
  </si>
  <si>
    <t xml:space="preserve">GL-05</t>
  </si>
  <si>
    <t xml:space="preserve">Regional FX moves</t>
  </si>
  <si>
    <t xml:space="preserve">BRL and MXN returns (liquid proxies that trade first)</t>
  </si>
  <si>
    <t xml:space="preserve">2 ccys x (1h, 1d)</t>
  </si>
  <si>
    <t xml:space="preserve">Lead-lag: BRL/MXN often reprice before thin Andean markets</t>
  </si>
  <si>
    <t xml:space="preserve">GL-06</t>
  </si>
  <si>
    <t xml:space="preserve">Fed path</t>
  </si>
  <si>
    <t xml:space="preserve">Change in 12M-ahead fed funds pricing</t>
  </si>
  <si>
    <t xml:space="preserve">SOFR futures</t>
  </si>
  <si>
    <t xml:space="preserve">5d change</t>
  </si>
  <si>
    <t xml:space="preserve">bp</t>
  </si>
  <si>
    <t xml:space="preserve">XS-01</t>
  </si>
  <si>
    <t xml:space="preserve">Andean factor</t>
  </si>
  <si>
    <t xml:space="preserve">First PC of CLP/COP/PEN returns; each ccy's residual vs it</t>
  </si>
  <si>
    <t xml:space="preserve">PCA window 250d</t>
  </si>
  <si>
    <t xml:space="preserve">Relative-value core</t>
  </si>
  <si>
    <t xml:space="preserve">XS-02</t>
  </si>
  <si>
    <t xml:space="preserve">Pair residual spread</t>
  </si>
  <si>
    <t xml:space="preserve">Z-score of residual: CLP vs PEN (copper pair), CLP vs COP</t>
  </si>
  <si>
    <t xml:space="preserve">Residual z 20d</t>
  </si>
  <si>
    <t xml:space="preserve">Estimate only on training window</t>
  </si>
  <si>
    <t xml:space="preserve">XS-03</t>
  </si>
  <si>
    <t xml:space="preserve">Cross-sectional ranks</t>
  </si>
  <si>
    <t xml:space="preserve">Rank of carry/vol, momentum, value across 10-15 EM ccys</t>
  </si>
  <si>
    <t xml:space="preserve">3 factors</t>
  </si>
  <si>
    <t xml:space="preserve">Rank to [-1, 1]</t>
  </si>
  <si>
    <t xml:space="preserve">Needs wider EM universe as reference set</t>
  </si>
  <si>
    <t xml:space="preserve">XS-04</t>
  </si>
  <si>
    <t xml:space="preserve">Correlation to risk</t>
  </si>
  <si>
    <t xml:space="preserve">Rolling corr to S&amp;P futures and EM FX basket</t>
  </si>
  <si>
    <t xml:space="preserve">Fisher z</t>
  </si>
  <si>
    <t xml:space="preserve">VL-01</t>
  </si>
  <si>
    <t xml:space="preserve">REER deviation</t>
  </si>
  <si>
    <t xml:space="preserve">log(REER) - 10y rolling mean</t>
  </si>
  <si>
    <t xml:space="preserve">BIS REER / CB REER</t>
  </si>
  <si>
    <t xml:space="preserve">10y</t>
  </si>
  <si>
    <t xml:space="preserve">Monthly release</t>
  </si>
  <si>
    <t xml:space="preserve">Forward-fill from publication time only; keep first-release vintage in backtests.</t>
  </si>
  <si>
    <t xml:space="preserve">Mostly for 20d target</t>
  </si>
  <si>
    <t xml:space="preserve">VL-02</t>
  </si>
  <si>
    <t xml:space="preserve">Current account trend</t>
  </si>
  <si>
    <t xml:space="preserve">12m rolling CA / GDP</t>
  </si>
  <si>
    <t xml:space="preserve">Quarterly</t>
  </si>
  <si>
    <t xml:space="preserve">CAL-01</t>
  </si>
  <si>
    <t xml:space="preserve">Time of day / day of week</t>
  </si>
  <si>
    <t xml:space="preserve">sin/cos time-of-day; day-of-week one-hot</t>
  </si>
  <si>
    <t xml:space="preserve">Clock</t>
  </si>
  <si>
    <t xml:space="preserve">Known</t>
  </si>
  <si>
    <t xml:space="preserve">CAL-02</t>
  </si>
  <si>
    <t xml:space="preserve">Local session flags</t>
  </si>
  <si>
    <t xml:space="preserve">Onshore market open/closed; minutes to onshore close</t>
  </si>
  <si>
    <t xml:space="preserve">Market hours</t>
  </si>
  <si>
    <t xml:space="preserve">Andean liquidity is concentrated in local hours</t>
  </si>
  <si>
    <t xml:space="preserve">CAL-03</t>
  </si>
  <si>
    <t xml:space="preserve">Holiday liquidity</t>
  </si>
  <si>
    <t xml:space="preserve">Local or US holiday (one side closed)</t>
  </si>
  <si>
    <t xml:space="preserve">Holiday calendars</t>
  </si>
  <si>
    <t xml:space="preserve">Dummy</t>
  </si>
  <si>
    <t xml:space="preserve">Many local holidays; NDF fixings shift</t>
  </si>
  <si>
    <t xml:space="preserve">CAL-04</t>
  </si>
  <si>
    <t xml:space="preserve">Month/quarter-end</t>
  </si>
  <si>
    <t xml:space="preserve">Business days to month-end; quarter-end flag</t>
  </si>
  <si>
    <t xml:space="preserve">Pension-fund rebalancing</t>
  </si>
  <si>
    <t xml:space="preserve">CAL-05</t>
  </si>
  <si>
    <t xml:space="preserve">Event countdown</t>
  </si>
  <si>
    <t xml:space="preserve">Days to FOMC, US CPI/NFP, local elections, pension-withdrawal votes</t>
  </si>
  <si>
    <t xml:space="preserve">Calendars</t>
  </si>
  <si>
    <t xml:space="preserve">Known if published</t>
  </si>
  <si>
    <t xml:space="preserve">PO-01</t>
  </si>
  <si>
    <t xml:space="preserve">Election window</t>
  </si>
  <si>
    <t xml:space="preserve">Days to/from presidential and congressional votes; runoff flags</t>
  </si>
  <si>
    <t xml:space="preserve">Electoral authorities (SERVEL, Registraduría, JNE/ONPE)</t>
  </si>
  <si>
    <t xml:space="preserve">PO-02</t>
  </si>
  <si>
    <t xml:space="preserve">Poll-implied market-unfriendly odds</t>
  </si>
  <si>
    <t xml:space="preserve">Poll share of candidates rated market-unfriendly (analyst-tagged), change</t>
  </si>
  <si>
    <t xml:space="preserve">Poll aggregators</t>
  </si>
  <si>
    <t xml:space="preserve">Level; 2w change</t>
  </si>
  <si>
    <t xml:space="preserve">On poll publication</t>
  </si>
  <si>
    <t xml:space="preserve">Tagging is subjective: freeze tags per backtest period</t>
  </si>
  <si>
    <t xml:space="preserve">PO-03</t>
  </si>
  <si>
    <t xml:space="preserve">Institutional crisis events</t>
  </si>
  <si>
    <t xml:space="preserve">Impeachment/vacancy motions, cabinet reshuffles, constitutional processes</t>
  </si>
  <si>
    <t xml:space="preserve">News, congress records</t>
  </si>
  <si>
    <t xml:space="preserve">Event flag; decayed count 20d</t>
  </si>
  <si>
    <t xml:space="preserve">At first headline timestamp</t>
  </si>
  <si>
    <t xml:space="preserve">Frequent in Peru; Chile constitutional processes 2020-23</t>
  </si>
  <si>
    <t xml:space="preserve">TX-01</t>
  </si>
  <si>
    <t xml:space="preserve">CB statement tone</t>
  </si>
  <si>
    <t xml:space="preserve">Hawk/dove score (fine-tuned Spanish model or LLM); delta vs previous</t>
  </si>
  <si>
    <t xml:space="preserve">BCCh, BanRep, BCRP statements &amp; minutes</t>
  </si>
  <si>
    <t xml:space="preserve">Level; delta</t>
  </si>
  <si>
    <t xml:space="preserve">At publication</t>
  </si>
  <si>
    <t xml:space="preserve">Freeze scorer version per backtest window</t>
  </si>
  <si>
    <t xml:space="preserve">TX-02</t>
  </si>
  <si>
    <t xml:space="preserve">Fiscal-risk news intensity</t>
  </si>
  <si>
    <t xml:space="preserve">Count of headlines classified fiscal-risk per country</t>
  </si>
  <si>
    <t xml:space="preserve">Wires + local press (El Mercurio, Portafolio, Gestión)</t>
  </si>
  <si>
    <t xml:space="preserve">Decay 1d, 5d</t>
  </si>
  <si>
    <t xml:space="preserve">log(1+x)</t>
  </si>
  <si>
    <t xml:space="preserve">Classifier trained only on data before test window</t>
  </si>
  <si>
    <t xml:space="preserve">TX-03</t>
  </si>
  <si>
    <t xml:space="preserve">Political risk news intensity</t>
  </si>
  <si>
    <t xml:space="preserve">Count/sentiment of politics-tagged headlines</t>
  </si>
  <si>
    <t xml:space="preserve">Wires + local press</t>
  </si>
  <si>
    <t xml:space="preserve">TX-04</t>
  </si>
  <si>
    <t xml:space="preserve">Mining/oil sector news</t>
  </si>
  <si>
    <t xml:space="preserve">Strikes, royalties, permits, pipeline attacks headlines</t>
  </si>
  <si>
    <t xml:space="preserve">Decay 5d</t>
  </si>
  <si>
    <t xml:space="preserve">Supply shocks for copper (Chile, Peru) and oil (Colombia)</t>
  </si>
  <si>
    <t xml:space="preserve">RG-01</t>
  </si>
  <si>
    <t xml:space="preserve">Regime probabilities</t>
  </si>
  <si>
    <t xml:space="preserve">Filtered probs from HMM on VIX z, EM corr, RR z, RV, CDS z</t>
  </si>
  <si>
    <t xml:space="preserve">HMM output</t>
  </si>
  <si>
    <t xml:space="preserve">5 states</t>
  </si>
  <si>
    <t xml:space="preserve">Value as of the daily decision snapshot; if source updates after it, use prior snapshot. Fit only on training window; filtered (not smoothed) probs.</t>
  </si>
  <si>
    <t xml:space="preserve">Fewer states than the BRL/MXN version: less data</t>
  </si>
  <si>
    <t xml:space="preserve">RG-02</t>
  </si>
  <si>
    <t xml:space="preserve">Liquidity regime</t>
  </si>
  <si>
    <t xml:space="preserve">Composite of quoted spread z and dealer quote count</t>
  </si>
  <si>
    <t xml:space="preserve">Dealer quotes</t>
  </si>
  <si>
    <t xml:space="preserve">20d</t>
  </si>
  <si>
    <t xml:space="preserve">RG-03</t>
  </si>
  <si>
    <t xml:space="preserve">Ensemble dispersion</t>
  </si>
  <si>
    <t xml:space="preserve">Stdev of model forecasts</t>
  </si>
  <si>
    <t xml:space="preserve">Model outputs</t>
  </si>
  <si>
    <t xml:space="preserve">Meta-weighter only</t>
  </si>
  <si>
    <t xml:space="preserve">RG-04</t>
  </si>
  <si>
    <t xml:space="preserve">Recent model skill</t>
  </si>
  <si>
    <t xml:space="preserve">Rolling IC of each model</t>
  </si>
  <si>
    <t xml:space="preserve">Shrink toward 0</t>
  </si>
  <si>
    <t xml:space="preserve">After target realized</t>
  </si>
  <si>
    <t xml:space="preserve">Only use ICs whose targets fully realized before t</t>
  </si>
  <si>
    <t xml:space="preserve">Heavy shrinkage to avoid chasing noise</t>
  </si>
  <si>
    <t xml:space="preserve">Legend: blue = editable input · ✓ = model consumes the feature · Total columns = # Ccys × Variants per ccy. '# Ccys' reads the Currencies cell: ALL = 3 (CLP, COP, PEN), Global = 1 (not currency-specific), else count of listed codes.</t>
  </si>
  <si>
    <t xml:space="preserve">Horizon</t>
  </si>
  <si>
    <t xml:space="preserve">Bar freq</t>
  </si>
  <si>
    <t xml:space="preserve">Return target</t>
  </si>
  <si>
    <t xml:space="preserve">Direction target</t>
  </si>
  <si>
    <t xml:space="preserve">Volatility target</t>
  </si>
  <si>
    <t xml:space="preserve">Tail target</t>
  </si>
  <si>
    <t xml:space="preserve">Purge / embargo</t>
  </si>
  <si>
    <t xml:space="preserve">Primary models</t>
  </si>
  <si>
    <t xml:space="preserve">Fwd return next 1 bar / sigma_1h (local session only)</t>
  </si>
  <si>
    <t xml:space="preserve">Sign with dead zone ±0.25 sigma</t>
  </si>
  <si>
    <t xml:space="preserve">log RV next 4h</t>
  </si>
  <si>
    <t xml:space="preserve">P(|r| &gt; 2 sigma_1h)</t>
  </si>
  <si>
    <t xml:space="preserve">Purge 1 bar; embargo 1 session</t>
  </si>
  <si>
    <t xml:space="preserve">PatchTST, EXE</t>
  </si>
  <si>
    <t xml:space="preserve">Mostly for execution timing; thin outside local hours</t>
  </si>
  <si>
    <t xml:space="preserve">Snapshot-to-snapshot return / sigma_20d</t>
  </si>
  <si>
    <t xml:space="preserve">Triple barrier ±1.5 sigma_d, 1d timeout, net of cost</t>
  </si>
  <si>
    <t xml:space="preserve">log RV next day</t>
  </si>
  <si>
    <t xml:space="preserve">P(|r| &gt; 2 sigma_d)</t>
  </si>
  <si>
    <t xml:space="preserve">Purge 1d; embargo 5d</t>
  </si>
  <si>
    <t xml:space="preserve">XGB, TFT, PatchTST</t>
  </si>
  <si>
    <t xml:space="preserve">Main alpha target</t>
  </si>
  <si>
    <t xml:space="preserve">5d</t>
  </si>
  <si>
    <t xml:space="preserve">5d fwd return / sigma_5d</t>
  </si>
  <si>
    <t xml:space="preserve">Triple barrier ±1.5 sigma, 5d timeout, net of cost</t>
  </si>
  <si>
    <t xml:space="preserve">log RV next 5d</t>
  </si>
  <si>
    <t xml:space="preserve">P(max adverse move &gt; 2 sigma_5d)</t>
  </si>
  <si>
    <t xml:space="preserve">Purge 5d; embargo 10d</t>
  </si>
  <si>
    <t xml:space="preserve">XGB, TFT</t>
  </si>
  <si>
    <t xml:space="preserve">Overlapping labels: use sample-uniqueness weights</t>
  </si>
  <si>
    <t xml:space="preserve">20d fwd return / sigma_20d</t>
  </si>
  <si>
    <t xml:space="preserve">Sign, net of carry</t>
  </si>
  <si>
    <t xml:space="preserve">log RV next 20d</t>
  </si>
  <si>
    <t xml:space="preserve">P(|r| &gt; 2 sigma_20d)</t>
  </si>
  <si>
    <t xml:space="preserve">Purge 20d; embargo 20d</t>
  </si>
  <si>
    <t xml:space="preserve">TFT, XGB</t>
  </si>
  <si>
    <t xml:space="preserve">~190 independent obs per ccy over 15y; weight lightly</t>
  </si>
  <si>
    <t xml:space="preserve">1d (PEN)</t>
  </si>
  <si>
    <t xml:space="preserve">PEN move beyond intervention: r_d - beta × scaled BCRP net sales</t>
  </si>
  <si>
    <t xml:space="preserve">P(BCRP intervenes next day)</t>
  </si>
  <si>
    <t xml:space="preserve">—</t>
  </si>
  <si>
    <t xml:space="preserve">P(|r| &gt; 2 sigma) given intervention</t>
  </si>
  <si>
    <t xml:space="preserve">Auxiliary targets: model the central bank, not just price</t>
  </si>
  <si>
    <t xml:space="preserve">Role</t>
  </si>
  <si>
    <t xml:space="preserve">Frequency</t>
  </si>
  <si>
    <t xml:space="preserve">Inputs (blocks)</t>
  </si>
  <si>
    <t xml:space="preserve">Lookback</t>
  </si>
  <si>
    <t xml:space="preserve">Outputs</t>
  </si>
  <si>
    <t xml:space="preserve">Starting hyperparameters</t>
  </si>
  <si>
    <t xml:space="preserve">Ridge baseline</t>
  </si>
  <si>
    <t xml:space="preserve">Benchmark every model must beat</t>
  </si>
  <si>
    <t xml:space="preserve">CR, PX momentum, CM residual, PF, CB</t>
  </si>
  <si>
    <t xml:space="preserve">20-120d features</t>
  </si>
  <si>
    <t xml:space="preserve">1d, 5d return</t>
  </si>
  <si>
    <t xml:space="preserve">alpha by CV; standardized inputs</t>
  </si>
  <si>
    <t xml:space="preserve">If a deep model can't beat this net of cost, drop it</t>
  </si>
  <si>
    <t xml:space="preserve">Nonlinear daily workhorse</t>
  </si>
  <si>
    <t xml:space="preserve">All daily blocks</t>
  </si>
  <si>
    <t xml:space="preserve">Via features</t>
  </si>
  <si>
    <t xml:space="preserve">Return, direction, vol, tail; BCRP intervention prob.</t>
  </si>
  <si>
    <t xml:space="preserve">depth 3-5, lr 0.02, early stopping, colsample 0.5, min_data_in_leaf 150</t>
  </si>
  <si>
    <t xml:space="preserve">Pooled across CLP/COP/PEN with ccy ID; add helper ccys (BRL, MXN, ZAR, AUD) as extra rows with a flag</t>
  </si>
  <si>
    <t xml:space="preserve">PatchTST</t>
  </si>
  <si>
    <t xml:space="preserve">Hourly sequence model</t>
  </si>
  <si>
    <t xml:space="preserve">PX, GL (incl. BRL/MXN lead), CM, CAL, TX</t>
  </si>
  <si>
    <t xml:space="preserve">336 bars (≈14 days)</t>
  </si>
  <si>
    <t xml:space="preserve">1h, 1d return + vol</t>
  </si>
  <si>
    <t xml:space="preserve">patch 16, stride 8, d_model 64, 2 layers, 4 heads, channel-independent</t>
  </si>
  <si>
    <t xml:space="preserve">Pool with helper ccys; data too thin otherwise. Mamba is a fair challenger here with longer lookbacks</t>
  </si>
  <si>
    <t xml:space="preserve">Temporal Fusion Transformer</t>
  </si>
  <si>
    <t xml:space="preserve">Daily macro model</t>
  </si>
  <si>
    <t xml:space="preserve">All daily blocks; CAL &amp; PO as known-future; ccy as static</t>
  </si>
  <si>
    <t xml:space="preserve">120d encoder, 20d decoder</t>
  </si>
  <si>
    <t xml:space="preserve">Quantiles 0.1/0.5/0.9 for 1-20d</t>
  </si>
  <si>
    <t xml:space="preserve">hidden 32-64, 4 heads, dropout 0.3, lr 1e-3</t>
  </si>
  <si>
    <t xml:space="preserve">Keep small: ~11k rows. Only keep if it adds alpha over LightGBM</t>
  </si>
  <si>
    <t xml:space="preserve">Spanish text model</t>
  </si>
  <si>
    <t xml:space="preserve">Feature generator</t>
  </si>
  <si>
    <t xml:space="preserve">Event / 1h</t>
  </si>
  <si>
    <t xml:space="preserve">CB statements, local press, wires</t>
  </si>
  <si>
    <t xml:space="preserve">Per document</t>
  </si>
  <si>
    <t xml:space="preserve">Tone, fiscal-risk, political-risk scores</t>
  </si>
  <si>
    <t xml:space="preserve">Fine-tuned XLM-R / BETO, or LLM extraction with fixed prompt</t>
  </si>
  <si>
    <t xml:space="preserve">Feeds TX block; freeze version per backtest window</t>
  </si>
  <si>
    <t xml:space="preserve">Regime / risk gate</t>
  </si>
  <si>
    <t xml:space="preserve">VIX z, EM corr, RR z, RV, CDS z</t>
  </si>
  <si>
    <t xml:space="preserve">Fit on training window</t>
  </si>
  <si>
    <t xml:space="preserve">5 filtered state probs</t>
  </si>
  <si>
    <t xml:space="preserve">Gaussian HMM, 5 states (drop to 3-4 if unstable)</t>
  </si>
  <si>
    <t xml:space="preserve">Scales gross exposure in risk-off</t>
  </si>
  <si>
    <t xml:space="preserve">When to trade after the signal</t>
  </si>
  <si>
    <t xml:space="preserve">1h / quotes</t>
  </si>
  <si>
    <t xml:space="preserve">CAL session flags, fixing deviation, liquidity regime</t>
  </si>
  <si>
    <t xml:space="preserve">Expected cost by time slot</t>
  </si>
  <si>
    <t xml:space="preserve">Rule-based first; learn from your own fills later</t>
  </si>
  <si>
    <t xml:space="preserve">No public order book: learn from dealer quotes and TCA</t>
  </si>
  <si>
    <t xml:space="preserve">Meta-weighter</t>
  </si>
  <si>
    <t xml:space="preserve">Blend model forecasts</t>
  </si>
  <si>
    <t xml:space="preserve">Regime probs, dispersion, rolling IC</t>
  </si>
  <si>
    <t xml:space="preserve">Model weights</t>
  </si>
  <si>
    <t xml:space="preserve">Regime-conditioned weights shrunk 50%+ toward equal weight</t>
  </si>
  <si>
    <t xml:space="preserve">Guards against chasing recent performance</t>
  </si>
  <si>
    <t xml:space="preserve">Currency</t>
  </si>
  <si>
    <t xml:space="preserve">Main instruments</t>
  </si>
  <si>
    <t xml:space="preserve">Price discovery</t>
  </si>
  <si>
    <t xml:space="preserve">Fixing</t>
  </si>
  <si>
    <t xml:space="preserve">Key local drivers</t>
  </si>
  <si>
    <t xml:space="preserve">Est. cost normal (bps RT)</t>
  </si>
  <si>
    <t xml:space="preserve">Est. cost stress (bps RT)</t>
  </si>
  <si>
    <t xml:space="preserve">Stress ratio</t>
  </si>
  <si>
    <t xml:space="preserve">Special risks</t>
  </si>
  <si>
    <t xml:space="preserve">Onshore spot (Datatec); offshore NDF; cámara swaps; CLP options (reasonable liquidity)</t>
  </si>
  <si>
    <t xml:space="preserve">Onshore spot in local hours; NDF otherwise</t>
  </si>
  <si>
    <t xml:space="preserve">Dólar observado (BCCh; set from prior day's trades)</t>
  </si>
  <si>
    <t xml:space="preserve">Copper, China, AFP hedging, BCCh, DXY</t>
  </si>
  <si>
    <t xml:space="preserve">AFP hedge-ratio shifts, BCCh programs, social/constitutional unrest (2019)</t>
  </si>
  <si>
    <t xml:space="preserve">Onshore spot (SET-FX); offshore NDF; IBR/TES; COP options</t>
  </si>
  <si>
    <t xml:space="preserve">TRM (from prior day's trades)</t>
  </si>
  <si>
    <t xml:space="preserve">Oil, fiscal/political news, offshore NDF positioning, TES flows, BanRep</t>
  </si>
  <si>
    <t xml:space="preserve">Fiscal-rule changes, political risk, thin liquidity, wide stress spreads</t>
  </si>
  <si>
    <t xml:space="preserve">Onshore interbank spot (Datatec); offshore NDF; sovereign bonds; very thin options</t>
  </si>
  <si>
    <t xml:space="preserve">Onshore spot; BCRP highly active</t>
  </si>
  <si>
    <t xml:space="preserve">BCRP reference rate / SBS rate</t>
  </si>
  <si>
    <t xml:space="preserve">Copper &amp; gold, BCRP intervention, AFP withdrawals, politics</t>
  </si>
  <si>
    <t xml:space="preserve">Heavy BCRP smoothing hides risk, then gaps; political crises; pension-withdrawal laws</t>
  </si>
  <si>
    <t xml:space="preserve">Costs are illustrative round-trip guesses for 1M NDFs (blue = editable), not measured. Replace with dealer quotes and your own TCA.</t>
  </si>
  <si>
    <t xml:space="preserve">Covers</t>
  </si>
  <si>
    <t xml:space="preserve">Access</t>
  </si>
  <si>
    <t xml:space="preserve">Timestamp notes</t>
  </si>
  <si>
    <t xml:space="preserve">BCCh statistics API (SIETE)</t>
  </si>
  <si>
    <t xml:space="preserve">Dólar observado, rates, AFP/derivatives positions, reserves, intervention</t>
  </si>
  <si>
    <t xml:space="preserve">Free; registration for API user/password</t>
  </si>
  <si>
    <t xml:space="preserve">Daily / weekly / monthly</t>
  </si>
  <si>
    <t xml:space="preserve">API gives values by reference date only: publication time must be assigned by rule (see pipeline config)</t>
  </si>
  <si>
    <t xml:space="preserve">BCRP statistics API</t>
  </si>
  <si>
    <t xml:space="preserve">Interbank FX rate, daily FX operations (spot, swaps, CDR), reserves, rates, dollarization</t>
  </si>
  <si>
    <t xml:space="preserve">Free; no key</t>
  </si>
  <si>
    <t xml:space="preserve">Daily / monthly</t>
  </si>
  <si>
    <t xml:space="preserve">Same: assign publication time by rule; daily operations published same day</t>
  </si>
  <si>
    <t xml:space="preserve">BanRep / datos.gov.co</t>
  </si>
  <si>
    <t xml:space="preserve">TRM (Socrata API); derivatives positions (offshore agents, AFPs); FX auctions; reserves</t>
  </si>
  <si>
    <t xml:space="preserve">Free; TRM via API, derivatives often Excel downloads</t>
  </si>
  <si>
    <t xml:space="preserve">Daily / weekly</t>
  </si>
  <si>
    <t xml:space="preserve">Derivatives files loaded via file loader; record download time as vintage</t>
  </si>
  <si>
    <t xml:space="preserve">Superintendencias / SBS / Superfinanciera</t>
  </si>
  <si>
    <t xml:space="preserve">Pension-fund portfolios &amp; FX exposure</t>
  </si>
  <si>
    <t xml:space="preserve">Free; files</t>
  </si>
  <si>
    <t xml:space="preserve">Publication lag weeks</t>
  </si>
  <si>
    <t xml:space="preserve">Dealer NDF quotes / Bloomberg / LSEG</t>
  </si>
  <si>
    <t xml:space="preserve">NDF curves, onshore spot history, vol surfaces, CDS, ECO consensus</t>
  </si>
  <si>
    <t xml:space="preserve">Paid</t>
  </si>
  <si>
    <t xml:space="preserve">Intraday / daily</t>
  </si>
  <si>
    <t xml:space="preserve">Export at a fixed snapshot time; load via CSV loader</t>
  </si>
  <si>
    <t xml:space="preserve">Datatec / SET-FX</t>
  </si>
  <si>
    <t xml:space="preserve">Onshore spot trades for CLP/PEN (Datatec) and COP (SET-FX)</t>
  </si>
  <si>
    <t xml:space="preserve">Paid, often via local broker</t>
  </si>
  <si>
    <t xml:space="preserve">Tick / intraday</t>
  </si>
  <si>
    <t xml:space="preserve">Local-time timestamps: convert to UTC</t>
  </si>
  <si>
    <t xml:space="preserve">FRED / US Treasury</t>
  </si>
  <si>
    <t xml:space="preserve">UST yields, SOFR, DXY proxies</t>
  </si>
  <si>
    <t xml:space="preserve">Free</t>
  </si>
  <si>
    <t xml:space="preserve">Daily</t>
  </si>
  <si>
    <t xml:space="preserve">Release times well documented</t>
  </si>
  <si>
    <t xml:space="preserve">LME / COMEX / ICE</t>
  </si>
  <si>
    <t xml:space="preserve">Copper, gold, zinc, Brent, coffee</t>
  </si>
  <si>
    <t xml:space="preserve">Paid (delayed free via FRED/others)</t>
  </si>
  <si>
    <t xml:space="preserve">Daily / intraday</t>
  </si>
  <si>
    <t xml:space="preserve">Different session closes: align on availability</t>
  </si>
  <si>
    <t xml:space="preserve">Electoral authorities &amp; polls</t>
  </si>
  <si>
    <t xml:space="preserve">SERVEL (CL), Registraduría (CO), JNE/ONPE (PE); poll aggregators</t>
  </si>
  <si>
    <t xml:space="preserve">Event / weekly</t>
  </si>
  <si>
    <t xml:space="preserve">Use poll publication date, not fieldwork date</t>
  </si>
  <si>
    <t xml:space="preserve">Local press &amp; wires</t>
  </si>
  <si>
    <t xml:space="preserve">El Mercurio, Diario Financiero, Portafolio, La República, Gestión, El Comercio; Bloomberg/Reuters</t>
  </si>
  <si>
    <t xml:space="preserve">Mixed</t>
  </si>
  <si>
    <t xml:space="preserve">First-seen timestamp; ignore later edits</t>
  </si>
  <si>
    <t xml:space="preserve">Episode</t>
  </si>
  <si>
    <t xml:space="preserve">Window</t>
  </si>
  <si>
    <t xml:space="preserve">Why it matters</t>
  </si>
  <si>
    <t xml:space="preserve">2013 taper tantrum</t>
  </si>
  <si>
    <t xml:space="preserve">May-Sep 2013</t>
  </si>
  <si>
    <t xml:space="preserve">All</t>
  </si>
  <si>
    <t xml:space="preserve">Global USD shock; tests carry crash behavior</t>
  </si>
  <si>
    <t xml:space="preserve">2014-16 commodity crash</t>
  </si>
  <si>
    <t xml:space="preserve">Jul 2014-Jan 2016</t>
  </si>
  <si>
    <t xml:space="preserve">All (COP worst)</t>
  </si>
  <si>
    <t xml:space="preserve">Oil collapse hit COP; copper slide hit CLP/PEN</t>
  </si>
  <si>
    <t xml:space="preserve">Chile social unrest (estallido)</t>
  </si>
  <si>
    <t xml:space="preserve">Oct-Dec 2019</t>
  </si>
  <si>
    <t xml:space="preserve">Record CLP highs, then BCCh USD 20bn intervention program</t>
  </si>
  <si>
    <t xml:space="preserve">COVID shock</t>
  </si>
  <si>
    <t xml:space="preserve">Feb-Apr 2020</t>
  </si>
  <si>
    <t xml:space="preserve">Liquidity crisis; spreads blew out</t>
  </si>
  <si>
    <t xml:space="preserve">Chile pension withdrawals &amp; constitution</t>
  </si>
  <si>
    <t xml:space="preserve">2020-2023</t>
  </si>
  <si>
    <t xml:space="preserve">AFP asset sales; constitutional processes</t>
  </si>
  <si>
    <t xml:space="preserve">Peru 2021 election</t>
  </si>
  <si>
    <t xml:space="preserve">Apr-Jul 2021</t>
  </si>
  <si>
    <t xml:space="preserve">Sharp PEN selloff, heavy BCRP intervention</t>
  </si>
  <si>
    <t xml:space="preserve">Peru Castillo crisis</t>
  </si>
  <si>
    <t xml:space="preserve">Dec 2022</t>
  </si>
  <si>
    <t xml:space="preserve">Self-coup attempt and removal; test gap behavior</t>
  </si>
  <si>
    <t xml:space="preserve">Colombia 2022 election &amp; fiscal</t>
  </si>
  <si>
    <t xml:space="preserve">May-Nov 2022</t>
  </si>
  <si>
    <t xml:space="preserve">Record COP weakness; fiscal/policy uncertainty</t>
  </si>
  <si>
    <t xml:space="preserve">Colombia fiscal-rule stress</t>
  </si>
  <si>
    <t xml:space="preserve">2024-2025</t>
  </si>
  <si>
    <t xml:space="preserve">Fiscal slippage and rule changes; TES selloffs</t>
  </si>
  <si>
    <t xml:space="preserve">2025-26 election cycles</t>
  </si>
  <si>
    <t xml:space="preserve">Chile 2025; Peru &amp; Colombia 2026</t>
  </si>
  <si>
    <t xml:space="preserve">Recent regime; use as final out-of-sample check</t>
  </si>
  <si>
    <t xml:space="preserve">Step</t>
  </si>
  <si>
    <t xml:space="preserve">Workstream</t>
  </si>
  <si>
    <t xml:space="preserve">Timing</t>
  </si>
  <si>
    <t xml:space="preserve">What to do</t>
  </si>
  <si>
    <t xml:space="preserve">Deliverable</t>
  </si>
  <si>
    <t xml:space="preserve">1</t>
  </si>
  <si>
    <t xml:space="preserve">Trading setup</t>
  </si>
  <si>
    <t xml:space="preserve">Week 1</t>
  </si>
  <si>
    <t xml:space="preserve">Pick instruments (offshore 1M NDFs), counterparties/ISDA, snapshot time, capacity. Get dealer spreads in normal and stressed markets.</t>
  </si>
  <si>
    <t xml:space="preserve">Signed-off trading setup; first real cost numbers</t>
  </si>
  <si>
    <t xml:space="preserve">2</t>
  </si>
  <si>
    <t xml:space="preserve">Point-in-time data layer</t>
  </si>
  <si>
    <t xml:space="preserve">Weeks 1-6</t>
  </si>
  <si>
    <t xml:space="preserve">Run the andeanfx pipeline for BCCh, BCRP, BanRep; load vendor NDF/vol exports; verify every series code and publication rule.</t>
  </si>
  <si>
    <t xml:space="preserve">Daily as-of panel for CLP/COP/PEN back to ~2010</t>
  </si>
  <si>
    <t xml:space="preserve">3</t>
  </si>
  <si>
    <t xml:space="preserve">Andean features (P1)</t>
  </si>
  <si>
    <t xml:space="preserve">Weeks 4-8</t>
  </si>
  <si>
    <t xml:space="preserve">Implement P1 features: carry, momentum, commodity residuals, BCRP intervention, COP offshore positioning, AFP flows, political calendar.</t>
  </si>
  <si>
    <t xml:space="preserve">Feature store with leakage tests</t>
  </si>
  <si>
    <t xml:space="preserve">4</t>
  </si>
  <si>
    <t xml:space="preserve">Baseline + harness</t>
  </si>
  <si>
    <t xml:space="preserve">Weeks 6-10</t>
  </si>
  <si>
    <t xml:space="preserve">Purged walk-forward, cost model, ridge and LightGBM, stress-episode report.</t>
  </si>
  <si>
    <t xml:space="preserve">Net-of-cost baseline Sharpe and IC</t>
  </si>
  <si>
    <t xml:space="preserve">5</t>
  </si>
  <si>
    <t xml:space="preserve">Text + sequence model</t>
  </si>
  <si>
    <t xml:space="preserve">Weeks 10-16</t>
  </si>
  <si>
    <t xml:space="preserve">Spanish CB/politics text scores; pooled PatchTST/TFT with helper currencies; incremental-alpha test.</t>
  </si>
  <si>
    <t xml:space="preserve">Keep/drop decision per model</t>
  </si>
  <si>
    <t xml:space="preserve">6</t>
  </si>
  <si>
    <t xml:space="preserve">Paper trade</t>
  </si>
  <si>
    <t xml:space="preserve">Months 4-7</t>
  </si>
  <si>
    <t xml:space="preserve">Run live at the snapshot with dealer quotes; measure slippage vs model.</t>
  </si>
  <si>
    <t xml:space="preserve">3 months of live-signal track record</t>
  </si>
  <si>
    <t xml:space="preserve">7</t>
  </si>
  <si>
    <t xml:space="preserve">Go live small</t>
  </si>
  <si>
    <t xml:space="preserve">Month 7+</t>
  </si>
  <si>
    <t xml:space="preserve">Trade ~20% of target size; scale only if live costs and hit rates match backtest.</t>
  </si>
  <si>
    <t xml:space="preserve">Production system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</si>
</sst>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✓;;&quot;&quot;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7A4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F2E6"/>
        <bgColor rgb="FFEDEDED"/>
      </patternFill>
    </fill>
    <fill>
      <patternFill patternType="solid">
        <fgColor rgb="FFFFF4CC"/>
        <bgColor rgb="FFEDEDED"/>
      </patternFill>
    </fill>
    <fill>
      <patternFill patternType="solid">
        <fgColor rgb="FFEDEDED"/>
        <bgColor rgb="FFD9F2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D9F2E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8FA9C9"/>
      <rgbColor rgb="FF993366"/>
      <rgbColor rgb="FFFFF4CC"/>
      <rgbColor rgb="FFD9F2E6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eatureSpec" displayName="FeatureSpec" ref="A1:V80" headerRowCount="1" totalsRowCount="0" totalsRowShown="0">
  <autoFilter ref="A1:V80"/>
  <tableColumns count="22">
    <tableColumn id="1" name="ID"/>
    <tableColumn id="2" name="Block"/>
    <tableColumn id="3" name="Feature"/>
    <tableColumn id="4" name="Definition / formula"/>
    <tableColumn id="5" name="Currencies"/>
    <tableColumn id="6" name="# Ccys"/>
    <tableColumn id="7" name="Variants per ccy"/>
    <tableColumn id="8" name="Total columns"/>
    <tableColumn id="9" name="Source"/>
    <tableColumn id="10" name="Native freq"/>
    <tableColumn id="11" name="Model freq"/>
    <tableColumn id="12" name="Lookbacks / params"/>
    <tableColumn id="13" name="Transformation"/>
    <tableColumn id="14" name="Availability / publication lag"/>
    <tableColumn id="15" name="Leakage rule"/>
    <tableColumn id="16" name="PAT"/>
    <tableColumn id="17" name="TFT"/>
    <tableColumn id="18" name="XGB"/>
    <tableColumn id="19" name="HMM"/>
    <tableColumn id="20" name="EXE"/>
    <tableColumn id="21" name="Priority"/>
    <tableColumn id="22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3.5" hidden="false" customHeight="true" outlineLevel="0" collapsed="false">
      <c r="B5" s="3" t="s">
        <v>2</v>
      </c>
      <c r="C5" s="4" t="s">
        <v>3</v>
      </c>
    </row>
    <row r="6" customFormat="false" ht="43.5" hidden="false" customHeight="true" outlineLevel="0" collapsed="false">
      <c r="B6" s="3" t="s">
        <v>4</v>
      </c>
      <c r="C6" s="4" t="s">
        <v>5</v>
      </c>
    </row>
    <row r="7" customFormat="false" ht="43.5" hidden="false" customHeight="true" outlineLevel="0" collapsed="false">
      <c r="B7" s="3" t="s">
        <v>6</v>
      </c>
      <c r="C7" s="4" t="s">
        <v>7</v>
      </c>
    </row>
    <row r="8" customFormat="false" ht="43.5" hidden="false" customHeight="true" outlineLevel="0" collapsed="false">
      <c r="B8" s="3" t="s">
        <v>8</v>
      </c>
      <c r="C8" s="4" t="s">
        <v>9</v>
      </c>
    </row>
    <row r="9" customFormat="false" ht="43.5" hidden="false" customHeight="true" outlineLevel="0" collapsed="false">
      <c r="B9" s="3" t="s">
        <v>10</v>
      </c>
      <c r="C9" s="4" t="s">
        <v>11</v>
      </c>
    </row>
    <row r="10" customFormat="false" ht="43.5" hidden="false" customHeight="true" outlineLevel="0" collapsed="false">
      <c r="B10" s="3" t="s">
        <v>12</v>
      </c>
      <c r="C10" s="4" t="s">
        <v>13</v>
      </c>
    </row>
    <row r="11" customFormat="false" ht="43.5" hidden="false" customHeight="true" outlineLevel="0" collapsed="false">
      <c r="B11" s="3" t="s">
        <v>14</v>
      </c>
      <c r="C11" s="4" t="s">
        <v>15</v>
      </c>
    </row>
    <row r="12" customFormat="false" ht="43.5" hidden="false" customHeight="true" outlineLevel="0" collapsed="false">
      <c r="B12" s="3" t="s">
        <v>16</v>
      </c>
      <c r="C12" s="4" t="s">
        <v>17</v>
      </c>
    </row>
    <row r="13" customFormat="false" ht="43.5" hidden="false" customHeight="true" outlineLevel="0" collapsed="false">
      <c r="B13" s="3" t="s">
        <v>18</v>
      </c>
      <c r="C13" s="4" t="s">
        <v>19</v>
      </c>
    </row>
    <row r="14" customFormat="false" ht="43.5" hidden="false" customHeight="true" outlineLevel="0" collapsed="false">
      <c r="B14" s="3" t="s">
        <v>20</v>
      </c>
      <c r="C14" s="4" t="s">
        <v>21</v>
      </c>
    </row>
    <row r="15" customFormat="false" ht="43.5" hidden="false" customHeight="true" outlineLevel="0" collapsed="false">
      <c r="B15" s="3" t="s">
        <v>22</v>
      </c>
      <c r="C15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5" t="s">
        <v>26</v>
      </c>
      <c r="B4" s="6" t="n">
        <f aca="false">COUNTA('Feature Spec'!$A$2:$A$80)</f>
        <v>79</v>
      </c>
    </row>
    <row r="5" customFormat="false" ht="15" hidden="false" customHeight="false" outlineLevel="0" collapsed="false">
      <c r="A5" s="5" t="s">
        <v>27</v>
      </c>
      <c r="B5" s="6" t="n">
        <f aca="false">SUM('Feature Spec'!$H$2:$H$80)</f>
        <v>393</v>
      </c>
    </row>
    <row r="7" customFormat="false" ht="31.5" hidden="false" customHeight="true" outlineLevel="0" collapsed="false">
      <c r="A7" s="7" t="s">
        <v>28</v>
      </c>
      <c r="B7" s="7" t="s">
        <v>29</v>
      </c>
      <c r="C7" s="7" t="s">
        <v>30</v>
      </c>
      <c r="D7" s="7" t="s">
        <v>31</v>
      </c>
    </row>
    <row r="8" customFormat="false" ht="15" hidden="false" customHeight="false" outlineLevel="0" collapsed="false">
      <c r="A8" s="8" t="s">
        <v>32</v>
      </c>
      <c r="B8" s="8" t="n">
        <f aca="false">COUNTIF('Feature Spec'!$B$2:$B$80,A8)</f>
        <v>9</v>
      </c>
      <c r="C8" s="8" t="n">
        <f aca="false">SUMIF('Feature Spec'!$B$2:$B$80,A8,'Feature Spec'!$H$2:$H$80)</f>
        <v>75</v>
      </c>
      <c r="D8" s="9" t="n">
        <f aca="false">IF($B$5=0,0,C8/$B$5)</f>
        <v>0.190839694656489</v>
      </c>
    </row>
    <row r="9" customFormat="false" ht="15" hidden="false" customHeight="false" outlineLevel="0" collapsed="false">
      <c r="A9" s="8" t="s">
        <v>33</v>
      </c>
      <c r="B9" s="8" t="n">
        <f aca="false">COUNTIF('Feature Spec'!$B$2:$B$80,A9)</f>
        <v>6</v>
      </c>
      <c r="C9" s="8" t="n">
        <f aca="false">SUMIF('Feature Spec'!$B$2:$B$80,A9,'Feature Spec'!$H$2:$H$80)</f>
        <v>30</v>
      </c>
      <c r="D9" s="9" t="n">
        <f aca="false">IF($B$5=0,0,C9/$B$5)</f>
        <v>0.0763358778625954</v>
      </c>
    </row>
    <row r="10" customFormat="false" ht="15" hidden="false" customHeight="false" outlineLevel="0" collapsed="false">
      <c r="A10" s="8" t="s">
        <v>34</v>
      </c>
      <c r="B10" s="8" t="n">
        <f aca="false">COUNTIF('Feature Spec'!$B$2:$B$80,A10)</f>
        <v>7</v>
      </c>
      <c r="C10" s="8" t="n">
        <f aca="false">SUMIF('Feature Spec'!$B$2:$B$80,A10,'Feature Spec'!$H$2:$H$80)</f>
        <v>37</v>
      </c>
      <c r="D10" s="9" t="n">
        <f aca="false">IF($B$5=0,0,C10/$B$5)</f>
        <v>0.094147582697201</v>
      </c>
    </row>
    <row r="11" customFormat="false" ht="15" hidden="false" customHeight="false" outlineLevel="0" collapsed="false">
      <c r="A11" s="8" t="s">
        <v>35</v>
      </c>
      <c r="B11" s="8" t="n">
        <f aca="false">COUNTIF('Feature Spec'!$B$2:$B$80,A11)</f>
        <v>4</v>
      </c>
      <c r="C11" s="8" t="n">
        <f aca="false">SUMIF('Feature Spec'!$B$2:$B$80,A11,'Feature Spec'!$H$2:$H$80)</f>
        <v>16</v>
      </c>
      <c r="D11" s="9" t="n">
        <f aca="false">IF($B$5=0,0,C11/$B$5)</f>
        <v>0.0407124681933842</v>
      </c>
    </row>
    <row r="12" customFormat="false" ht="15" hidden="false" customHeight="false" outlineLevel="0" collapsed="false">
      <c r="A12" s="8" t="s">
        <v>36</v>
      </c>
      <c r="B12" s="8" t="n">
        <f aca="false">COUNTIF('Feature Spec'!$B$2:$B$80,A12)</f>
        <v>8</v>
      </c>
      <c r="C12" s="8" t="n">
        <f aca="false">SUMIF('Feature Spec'!$B$2:$B$80,A12,'Feature Spec'!$H$2:$H$80)</f>
        <v>28</v>
      </c>
      <c r="D12" s="9" t="n">
        <f aca="false">IF($B$5=0,0,C12/$B$5)</f>
        <v>0.0712468193384224</v>
      </c>
    </row>
    <row r="13" customFormat="false" ht="15" hidden="false" customHeight="false" outlineLevel="0" collapsed="false">
      <c r="A13" s="8" t="s">
        <v>37</v>
      </c>
      <c r="B13" s="8" t="n">
        <f aca="false">COUNTIF('Feature Spec'!$B$2:$B$80,A13)</f>
        <v>8</v>
      </c>
      <c r="C13" s="8" t="n">
        <f aca="false">SUMIF('Feature Spec'!$B$2:$B$80,A13,'Feature Spec'!$H$2:$H$80)</f>
        <v>20</v>
      </c>
      <c r="D13" s="9" t="n">
        <f aca="false">IF($B$5=0,0,C13/$B$5)</f>
        <v>0.0508905852417303</v>
      </c>
    </row>
    <row r="14" customFormat="false" ht="15" hidden="false" customHeight="false" outlineLevel="0" collapsed="false">
      <c r="A14" s="8" t="s">
        <v>38</v>
      </c>
      <c r="B14" s="8" t="n">
        <f aca="false">COUNTIF('Feature Spec'!$B$2:$B$80,A14)</f>
        <v>5</v>
      </c>
      <c r="C14" s="8" t="n">
        <f aca="false">SUMIF('Feature Spec'!$B$2:$B$80,A14,'Feature Spec'!$H$2:$H$80)</f>
        <v>26</v>
      </c>
      <c r="D14" s="9" t="n">
        <f aca="false">IF($B$5=0,0,C14/$B$5)</f>
        <v>0.0661577608142494</v>
      </c>
    </row>
    <row r="15" customFormat="false" ht="15" hidden="false" customHeight="false" outlineLevel="0" collapsed="false">
      <c r="A15" s="8" t="s">
        <v>39</v>
      </c>
      <c r="B15" s="8" t="n">
        <f aca="false">COUNTIF('Feature Spec'!$B$2:$B$80,A15)</f>
        <v>4</v>
      </c>
      <c r="C15" s="8" t="n">
        <f aca="false">SUMIF('Feature Spec'!$B$2:$B$80,A15,'Feature Spec'!$H$2:$H$80)</f>
        <v>21</v>
      </c>
      <c r="D15" s="9" t="n">
        <f aca="false">IF($B$5=0,0,C15/$B$5)</f>
        <v>0.0534351145038168</v>
      </c>
    </row>
    <row r="16" customFormat="false" ht="15" hidden="false" customHeight="false" outlineLevel="0" collapsed="false">
      <c r="A16" s="8" t="s">
        <v>40</v>
      </c>
      <c r="B16" s="8" t="n">
        <f aca="false">COUNTIF('Feature Spec'!$B$2:$B$80,A16)</f>
        <v>6</v>
      </c>
      <c r="C16" s="8" t="n">
        <f aca="false">SUMIF('Feature Spec'!$B$2:$B$80,A16,'Feature Spec'!$H$2:$H$80)</f>
        <v>18</v>
      </c>
      <c r="D16" s="9" t="n">
        <f aca="false">IF($B$5=0,0,C16/$B$5)</f>
        <v>0.0458015267175573</v>
      </c>
    </row>
    <row r="17" customFormat="false" ht="15" hidden="false" customHeight="false" outlineLevel="0" collapsed="false">
      <c r="A17" s="8" t="s">
        <v>41</v>
      </c>
      <c r="B17" s="8" t="n">
        <f aca="false">COUNTIF('Feature Spec'!$B$2:$B$80,A17)</f>
        <v>4</v>
      </c>
      <c r="C17" s="8" t="n">
        <f aca="false">SUMIF('Feature Spec'!$B$2:$B$80,A17,'Feature Spec'!$H$2:$H$80)</f>
        <v>27</v>
      </c>
      <c r="D17" s="9" t="n">
        <f aca="false">IF($B$5=0,0,C17/$B$5)</f>
        <v>0.0687022900763359</v>
      </c>
    </row>
    <row r="18" customFormat="false" ht="15" hidden="false" customHeight="false" outlineLevel="0" collapsed="false">
      <c r="A18" s="8" t="s">
        <v>42</v>
      </c>
      <c r="B18" s="8" t="n">
        <f aca="false">COUNTIF('Feature Spec'!$B$2:$B$80,A18)</f>
        <v>2</v>
      </c>
      <c r="C18" s="8" t="n">
        <f aca="false">SUMIF('Feature Spec'!$B$2:$B$80,A18,'Feature Spec'!$H$2:$H$80)</f>
        <v>6</v>
      </c>
      <c r="D18" s="9" t="n">
        <f aca="false">IF($B$5=0,0,C18/$B$5)</f>
        <v>0.0152671755725191</v>
      </c>
    </row>
    <row r="19" customFormat="false" ht="15" hidden="false" customHeight="false" outlineLevel="0" collapsed="false">
      <c r="A19" s="8" t="s">
        <v>43</v>
      </c>
      <c r="B19" s="8" t="n">
        <f aca="false">COUNTIF('Feature Spec'!$B$2:$B$80,A19)</f>
        <v>5</v>
      </c>
      <c r="C19" s="8" t="n">
        <f aca="false">SUMIF('Feature Spec'!$B$2:$B$80,A19,'Feature Spec'!$H$2:$H$80)</f>
        <v>27</v>
      </c>
      <c r="D19" s="9" t="n">
        <f aca="false">IF($B$5=0,0,C19/$B$5)</f>
        <v>0.0687022900763359</v>
      </c>
    </row>
    <row r="20" customFormat="false" ht="15" hidden="false" customHeight="false" outlineLevel="0" collapsed="false">
      <c r="A20" s="8" t="s">
        <v>44</v>
      </c>
      <c r="B20" s="8" t="n">
        <f aca="false">COUNTIF('Feature Spec'!$B$2:$B$80,A20)</f>
        <v>3</v>
      </c>
      <c r="C20" s="8" t="n">
        <f aca="false">SUMIF('Feature Spec'!$B$2:$B$80,A20,'Feature Spec'!$H$2:$H$80)</f>
        <v>18</v>
      </c>
      <c r="D20" s="9" t="n">
        <f aca="false">IF($B$5=0,0,C20/$B$5)</f>
        <v>0.0458015267175573</v>
      </c>
    </row>
    <row r="21" customFormat="false" ht="15" hidden="false" customHeight="false" outlineLevel="0" collapsed="false">
      <c r="A21" s="8" t="s">
        <v>45</v>
      </c>
      <c r="B21" s="8" t="n">
        <f aca="false">COUNTIF('Feature Spec'!$B$2:$B$80,A21)</f>
        <v>4</v>
      </c>
      <c r="C21" s="8" t="n">
        <f aca="false">SUMIF('Feature Spec'!$B$2:$B$80,A21,'Feature Spec'!$H$2:$H$80)</f>
        <v>21</v>
      </c>
      <c r="D21" s="9" t="n">
        <f aca="false">IF($B$5=0,0,C21/$B$5)</f>
        <v>0.0534351145038168</v>
      </c>
    </row>
    <row r="22" customFormat="false" ht="15" hidden="false" customHeight="false" outlineLevel="0" collapsed="false">
      <c r="A22" s="8" t="s">
        <v>46</v>
      </c>
      <c r="B22" s="8" t="n">
        <f aca="false">COUNTIF('Feature Spec'!$B$2:$B$80,A22)</f>
        <v>4</v>
      </c>
      <c r="C22" s="8" t="n">
        <f aca="false">SUMIF('Feature Spec'!$B$2:$B$80,A22,'Feature Spec'!$H$2:$H$80)</f>
        <v>23</v>
      </c>
      <c r="D22" s="9" t="n">
        <f aca="false">IF($B$5=0,0,C22/$B$5)</f>
        <v>0.0585241730279898</v>
      </c>
    </row>
    <row r="23" customFormat="false" ht="15" hidden="false" customHeight="false" outlineLevel="0" collapsed="false">
      <c r="A23" s="5" t="s">
        <v>47</v>
      </c>
      <c r="B23" s="5" t="n">
        <f aca="false">SUM(B8:B22)</f>
        <v>79</v>
      </c>
      <c r="C23" s="5" t="n">
        <f aca="false">SUM(C8:C22)</f>
        <v>393</v>
      </c>
      <c r="D23" s="10" t="n">
        <f aca="false">SUM(D8:D22)</f>
        <v>1</v>
      </c>
    </row>
    <row r="26" customFormat="false" ht="31.5" hidden="false" customHeight="true" outlineLevel="0" collapsed="false">
      <c r="A26" s="7" t="s">
        <v>16</v>
      </c>
      <c r="B26" s="7" t="s">
        <v>29</v>
      </c>
      <c r="C26" s="7" t="s">
        <v>30</v>
      </c>
      <c r="D26" s="7" t="s">
        <v>31</v>
      </c>
    </row>
    <row r="27" customFormat="false" ht="15" hidden="false" customHeight="false" outlineLevel="0" collapsed="false">
      <c r="A27" s="11" t="s">
        <v>48</v>
      </c>
      <c r="B27" s="8" t="n">
        <f aca="false">COUNTIF('Feature Spec'!$U$2:$U$80,A27)</f>
        <v>45</v>
      </c>
      <c r="C27" s="8" t="n">
        <f aca="false">SUMIF('Feature Spec'!$U$2:$U$80,A27,'Feature Spec'!$H$2:$H$80)</f>
        <v>258</v>
      </c>
      <c r="D27" s="9" t="n">
        <f aca="false">IF($B$5=0,0,C27/$B$5)</f>
        <v>0.656488549618321</v>
      </c>
    </row>
    <row r="28" customFormat="false" ht="15" hidden="false" customHeight="false" outlineLevel="0" collapsed="false">
      <c r="A28" s="12" t="s">
        <v>49</v>
      </c>
      <c r="B28" s="8" t="n">
        <f aca="false">COUNTIF('Feature Spec'!$U$2:$U$80,A28)</f>
        <v>24</v>
      </c>
      <c r="C28" s="8" t="n">
        <f aca="false">SUMIF('Feature Spec'!$U$2:$U$80,A28,'Feature Spec'!$H$2:$H$80)</f>
        <v>92</v>
      </c>
      <c r="D28" s="9" t="n">
        <f aca="false">IF($B$5=0,0,C28/$B$5)</f>
        <v>0.234096692111959</v>
      </c>
    </row>
    <row r="29" customFormat="false" ht="15" hidden="false" customHeight="false" outlineLevel="0" collapsed="false">
      <c r="A29" s="13" t="s">
        <v>50</v>
      </c>
      <c r="B29" s="8" t="n">
        <f aca="false">COUNTIF('Feature Spec'!$U$2:$U$80,A29)</f>
        <v>10</v>
      </c>
      <c r="C29" s="8" t="n">
        <f aca="false">SUMIF('Feature Spec'!$U$2:$U$80,A29,'Feature Spec'!$H$2:$H$80)</f>
        <v>43</v>
      </c>
      <c r="D29" s="9" t="n">
        <f aca="false">IF($B$5=0,0,C29/$B$5)</f>
        <v>0.10941475826972</v>
      </c>
    </row>
    <row r="32" customFormat="false" ht="31.5" hidden="false" customHeight="true" outlineLevel="0" collapsed="false">
      <c r="A32" s="7" t="s">
        <v>51</v>
      </c>
      <c r="B32" s="7" t="s">
        <v>52</v>
      </c>
      <c r="C32" s="7" t="s">
        <v>53</v>
      </c>
      <c r="D32" s="7" t="s">
        <v>31</v>
      </c>
    </row>
    <row r="33" customFormat="false" ht="15" hidden="false" customHeight="false" outlineLevel="0" collapsed="false">
      <c r="A33" s="8" t="s">
        <v>54</v>
      </c>
      <c r="B33" s="8" t="n">
        <f aca="false">SUM('Feature Spec'!$P$2:$P$80)</f>
        <v>10</v>
      </c>
      <c r="C33" s="8" t="n">
        <f aca="false">SUMPRODUCT('Feature Spec'!$P$2:$P$80,'Feature Spec'!$H$2:$H$80)</f>
        <v>73</v>
      </c>
      <c r="D33" s="9" t="n">
        <f aca="false">IF($B$5=0,0,C33/$B$5)</f>
        <v>0.185750636132316</v>
      </c>
    </row>
    <row r="34" customFormat="false" ht="15" hidden="false" customHeight="false" outlineLevel="0" collapsed="false">
      <c r="A34" s="8" t="s">
        <v>55</v>
      </c>
      <c r="B34" s="8" t="n">
        <f aca="false">SUM('Feature Spec'!$Q$2:$Q$80)</f>
        <v>63</v>
      </c>
      <c r="C34" s="8" t="n">
        <f aca="false">SUMPRODUCT('Feature Spec'!$Q$2:$Q$80,'Feature Spec'!$H$2:$H$80)</f>
        <v>320</v>
      </c>
      <c r="D34" s="9" t="n">
        <f aca="false">IF($B$5=0,0,C34/$B$5)</f>
        <v>0.814249363867684</v>
      </c>
    </row>
    <row r="35" customFormat="false" ht="15" hidden="false" customHeight="false" outlineLevel="0" collapsed="false">
      <c r="A35" s="8" t="s">
        <v>56</v>
      </c>
      <c r="B35" s="8" t="n">
        <f aca="false">SUM('Feature Spec'!$R$2:$R$80)</f>
        <v>77</v>
      </c>
      <c r="C35" s="8" t="n">
        <f aca="false">SUMPRODUCT('Feature Spec'!$R$2:$R$80,'Feature Spec'!$H$2:$H$80)</f>
        <v>380</v>
      </c>
      <c r="D35" s="9" t="n">
        <f aca="false">IF($B$5=0,0,C35/$B$5)</f>
        <v>0.966921119592875</v>
      </c>
    </row>
    <row r="36" customFormat="false" ht="15" hidden="false" customHeight="false" outlineLevel="0" collapsed="false">
      <c r="A36" s="8" t="s">
        <v>57</v>
      </c>
      <c r="B36" s="8" t="n">
        <f aca="false">SUM('Feature Spec'!$S$2:$S$80)</f>
        <v>14</v>
      </c>
      <c r="C36" s="8" t="n">
        <f aca="false">SUMPRODUCT('Feature Spec'!$S$2:$S$80,'Feature Spec'!$H$2:$H$80)</f>
        <v>68</v>
      </c>
      <c r="D36" s="9" t="n">
        <f aca="false">IF($B$5=0,0,C36/$B$5)</f>
        <v>0.173027989821883</v>
      </c>
    </row>
    <row r="37" customFormat="false" ht="15" hidden="false" customHeight="false" outlineLevel="0" collapsed="false">
      <c r="A37" s="8" t="s">
        <v>58</v>
      </c>
      <c r="B37" s="8" t="n">
        <f aca="false">SUM('Feature Spec'!$T$2:$T$80)</f>
        <v>6</v>
      </c>
      <c r="C37" s="8" t="n">
        <f aca="false">SUMPRODUCT('Feature Spec'!$T$2:$T$80,'Feature Spec'!$H$2:$H$80)</f>
        <v>24</v>
      </c>
      <c r="D37" s="9" t="n">
        <f aca="false">IF($B$5=0,0,C37/$B$5)</f>
        <v>0.0610687022900763</v>
      </c>
    </row>
    <row r="39" customFormat="false" ht="15" hidden="false" customHeight="false" outlineLevel="0" collapsed="false">
      <c r="A39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V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3" min="13" style="0" width="18"/>
    <col collapsed="false" customWidth="true" hidden="false" outlineLevel="0" max="14" min="14" style="0" width="28"/>
    <col collapsed="false" customWidth="true" hidden="false" outlineLevel="0" max="15" min="15" style="0" width="36"/>
    <col collapsed="false" customWidth="true" hidden="false" outlineLevel="0" max="20" min="16" style="0" width="5"/>
    <col collapsed="false" customWidth="true" hidden="false" outlineLevel="0" max="21" min="21" style="0" width="8"/>
    <col collapsed="false" customWidth="true" hidden="false" outlineLevel="0" max="22" min="22" style="0" width="36"/>
  </cols>
  <sheetData>
    <row r="1" customFormat="false" ht="31.5" hidden="false" customHeight="true" outlineLevel="0" collapsed="false">
      <c r="A1" s="7" t="s">
        <v>60</v>
      </c>
      <c r="B1" s="7" t="s">
        <v>28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7" t="s">
        <v>71</v>
      </c>
      <c r="N1" s="7" t="s">
        <v>72</v>
      </c>
      <c r="O1" s="7" t="s">
        <v>73</v>
      </c>
      <c r="P1" s="7" t="s">
        <v>74</v>
      </c>
      <c r="Q1" s="7" t="s">
        <v>75</v>
      </c>
      <c r="R1" s="7" t="s">
        <v>76</v>
      </c>
      <c r="S1" s="7" t="s">
        <v>77</v>
      </c>
      <c r="T1" s="7" t="s">
        <v>78</v>
      </c>
      <c r="U1" s="7" t="s">
        <v>16</v>
      </c>
      <c r="V1" s="7" t="s">
        <v>79</v>
      </c>
    </row>
    <row r="2" customFormat="false" ht="35.05" hidden="false" customHeight="false" outlineLevel="0" collapsed="false">
      <c r="A2" s="14" t="s">
        <v>80</v>
      </c>
      <c r="B2" s="15" t="s">
        <v>32</v>
      </c>
      <c r="C2" s="15" t="s">
        <v>81</v>
      </c>
      <c r="D2" s="15" t="s">
        <v>82</v>
      </c>
      <c r="E2" s="15" t="s">
        <v>83</v>
      </c>
      <c r="F2" s="14" t="n">
        <f aca="false">IF(E2="ALL",3,IF(E2="Global",1,LEN(E2)-LEN(SUBSTITUTE(E2,",",""))+1))</f>
        <v>3</v>
      </c>
      <c r="G2" s="16" t="n">
        <v>6</v>
      </c>
      <c r="H2" s="14" t="n">
        <f aca="false">F2*G2</f>
        <v>18</v>
      </c>
      <c r="I2" s="15" t="s">
        <v>84</v>
      </c>
      <c r="J2" s="15" t="s">
        <v>85</v>
      </c>
      <c r="K2" s="15" t="s">
        <v>86</v>
      </c>
      <c r="L2" s="15" t="s">
        <v>87</v>
      </c>
      <c r="M2" s="15" t="s">
        <v>88</v>
      </c>
      <c r="N2" s="15" t="s">
        <v>89</v>
      </c>
      <c r="O2" s="15" t="s">
        <v>90</v>
      </c>
      <c r="P2" s="17" t="n">
        <v>1</v>
      </c>
      <c r="Q2" s="17" t="n">
        <v>1</v>
      </c>
      <c r="R2" s="17" t="n">
        <v>1</v>
      </c>
      <c r="S2" s="17" t="n">
        <v>0</v>
      </c>
      <c r="T2" s="17" t="n">
        <v>0</v>
      </c>
      <c r="U2" s="18" t="s">
        <v>48</v>
      </c>
      <c r="V2" s="15" t="s">
        <v>91</v>
      </c>
    </row>
    <row r="3" customFormat="false" ht="23.85" hidden="false" customHeight="false" outlineLevel="0" collapsed="false">
      <c r="A3" s="14" t="s">
        <v>92</v>
      </c>
      <c r="B3" s="15" t="s">
        <v>32</v>
      </c>
      <c r="C3" s="15" t="s">
        <v>93</v>
      </c>
      <c r="D3" s="15" t="s">
        <v>94</v>
      </c>
      <c r="E3" s="15" t="s">
        <v>83</v>
      </c>
      <c r="F3" s="14" t="n">
        <f aca="false">IF(E3="ALL",3,IF(E3="Global",1,LEN(E3)-LEN(SUBSTITUTE(E3,",",""))+1))</f>
        <v>3</v>
      </c>
      <c r="G3" s="16" t="n">
        <v>4</v>
      </c>
      <c r="H3" s="14" t="n">
        <f aca="false">F3*G3</f>
        <v>12</v>
      </c>
      <c r="I3" s="15" t="s">
        <v>95</v>
      </c>
      <c r="J3" s="15" t="s">
        <v>96</v>
      </c>
      <c r="K3" s="15" t="s">
        <v>96</v>
      </c>
      <c r="L3" s="15" t="s">
        <v>97</v>
      </c>
      <c r="M3" s="15" t="s">
        <v>98</v>
      </c>
      <c r="N3" s="15" t="s">
        <v>99</v>
      </c>
      <c r="O3" s="15" t="s">
        <v>100</v>
      </c>
      <c r="P3" s="17" t="n">
        <v>0</v>
      </c>
      <c r="Q3" s="17" t="n">
        <v>1</v>
      </c>
      <c r="R3" s="17" t="n">
        <v>1</v>
      </c>
      <c r="S3" s="17" t="n">
        <v>0</v>
      </c>
      <c r="T3" s="17" t="n">
        <v>0</v>
      </c>
      <c r="U3" s="18" t="s">
        <v>48</v>
      </c>
      <c r="V3" s="15" t="s">
        <v>101</v>
      </c>
    </row>
    <row r="4" customFormat="false" ht="23.85" hidden="false" customHeight="false" outlineLevel="0" collapsed="false">
      <c r="A4" s="14" t="s">
        <v>102</v>
      </c>
      <c r="B4" s="15" t="s">
        <v>32</v>
      </c>
      <c r="C4" s="15" t="s">
        <v>103</v>
      </c>
      <c r="D4" s="15" t="s">
        <v>104</v>
      </c>
      <c r="E4" s="15" t="s">
        <v>83</v>
      </c>
      <c r="F4" s="14" t="n">
        <f aca="false">IF(E4="ALL",3,IF(E4="Global",1,LEN(E4)-LEN(SUBSTITUTE(E4,",",""))+1))</f>
        <v>3</v>
      </c>
      <c r="G4" s="16" t="n">
        <v>3</v>
      </c>
      <c r="H4" s="14" t="n">
        <f aca="false">F4*G4</f>
        <v>9</v>
      </c>
      <c r="I4" s="15" t="s">
        <v>95</v>
      </c>
      <c r="J4" s="15" t="s">
        <v>85</v>
      </c>
      <c r="K4" s="15" t="s">
        <v>96</v>
      </c>
      <c r="L4" s="15" t="s">
        <v>105</v>
      </c>
      <c r="M4" s="15" t="s">
        <v>106</v>
      </c>
      <c r="N4" s="15" t="s">
        <v>99</v>
      </c>
      <c r="O4" s="15" t="s">
        <v>100</v>
      </c>
      <c r="P4" s="17" t="n">
        <v>1</v>
      </c>
      <c r="Q4" s="17" t="n">
        <v>1</v>
      </c>
      <c r="R4" s="17" t="n">
        <v>1</v>
      </c>
      <c r="S4" s="17" t="n">
        <v>1</v>
      </c>
      <c r="T4" s="17" t="n">
        <v>0</v>
      </c>
      <c r="U4" s="18" t="s">
        <v>48</v>
      </c>
      <c r="V4" s="15" t="s">
        <v>107</v>
      </c>
    </row>
    <row r="5" customFormat="false" ht="23.85" hidden="false" customHeight="false" outlineLevel="0" collapsed="false">
      <c r="A5" s="14" t="s">
        <v>108</v>
      </c>
      <c r="B5" s="15" t="s">
        <v>32</v>
      </c>
      <c r="C5" s="15" t="s">
        <v>109</v>
      </c>
      <c r="D5" s="15" t="s">
        <v>110</v>
      </c>
      <c r="E5" s="15" t="s">
        <v>83</v>
      </c>
      <c r="F5" s="14" t="n">
        <f aca="false">IF(E5="ALL",3,IF(E5="Global",1,LEN(E5)-LEN(SUBSTITUTE(E5,",",""))+1))</f>
        <v>3</v>
      </c>
      <c r="G5" s="16" t="n">
        <v>2</v>
      </c>
      <c r="H5" s="14" t="n">
        <f aca="false">F5*G5</f>
        <v>6</v>
      </c>
      <c r="I5" s="15" t="s">
        <v>111</v>
      </c>
      <c r="J5" s="15" t="s">
        <v>96</v>
      </c>
      <c r="K5" s="15" t="s">
        <v>96</v>
      </c>
      <c r="L5" s="15" t="s">
        <v>112</v>
      </c>
      <c r="M5" s="15" t="s">
        <v>106</v>
      </c>
      <c r="N5" s="15" t="s">
        <v>113</v>
      </c>
      <c r="O5" s="15" t="s">
        <v>100</v>
      </c>
      <c r="P5" s="17" t="n">
        <v>0</v>
      </c>
      <c r="Q5" s="17" t="n">
        <v>1</v>
      </c>
      <c r="R5" s="17" t="n">
        <v>1</v>
      </c>
      <c r="S5" s="17" t="n">
        <v>0</v>
      </c>
      <c r="T5" s="17" t="n">
        <v>0</v>
      </c>
      <c r="U5" s="19" t="s">
        <v>49</v>
      </c>
      <c r="V5" s="15" t="s">
        <v>114</v>
      </c>
    </row>
    <row r="6" customFormat="false" ht="23.85" hidden="false" customHeight="false" outlineLevel="0" collapsed="false">
      <c r="A6" s="14" t="s">
        <v>115</v>
      </c>
      <c r="B6" s="15" t="s">
        <v>32</v>
      </c>
      <c r="C6" s="15" t="s">
        <v>116</v>
      </c>
      <c r="D6" s="15" t="s">
        <v>117</v>
      </c>
      <c r="E6" s="15" t="s">
        <v>83</v>
      </c>
      <c r="F6" s="14" t="n">
        <f aca="false">IF(E6="ALL",3,IF(E6="Global",1,LEN(E6)-LEN(SUBSTITUTE(E6,",",""))+1))</f>
        <v>3</v>
      </c>
      <c r="G6" s="16" t="n">
        <v>2</v>
      </c>
      <c r="H6" s="14" t="n">
        <f aca="false">F6*G6</f>
        <v>6</v>
      </c>
      <c r="I6" s="15" t="s">
        <v>95</v>
      </c>
      <c r="J6" s="15" t="s">
        <v>96</v>
      </c>
      <c r="K6" s="15" t="s">
        <v>96</v>
      </c>
      <c r="L6" s="15" t="s">
        <v>118</v>
      </c>
      <c r="M6" s="15" t="s">
        <v>119</v>
      </c>
      <c r="N6" s="15" t="s">
        <v>99</v>
      </c>
      <c r="O6" s="15" t="s">
        <v>100</v>
      </c>
      <c r="P6" s="17" t="n">
        <v>0</v>
      </c>
      <c r="Q6" s="17" t="n">
        <v>0</v>
      </c>
      <c r="R6" s="17" t="n">
        <v>1</v>
      </c>
      <c r="S6" s="17" t="n">
        <v>1</v>
      </c>
      <c r="T6" s="17" t="n">
        <v>0</v>
      </c>
      <c r="U6" s="19" t="s">
        <v>49</v>
      </c>
      <c r="V6" s="15" t="s">
        <v>120</v>
      </c>
    </row>
    <row r="7" customFormat="false" ht="23.85" hidden="false" customHeight="false" outlineLevel="0" collapsed="false">
      <c r="A7" s="14" t="s">
        <v>121</v>
      </c>
      <c r="B7" s="15" t="s">
        <v>32</v>
      </c>
      <c r="C7" s="15" t="s">
        <v>122</v>
      </c>
      <c r="D7" s="15" t="s">
        <v>123</v>
      </c>
      <c r="E7" s="15" t="s">
        <v>83</v>
      </c>
      <c r="F7" s="14" t="n">
        <f aca="false">IF(E7="ALL",3,IF(E7="Global",1,LEN(E7)-LEN(SUBSTITUTE(E7,",",""))+1))</f>
        <v>3</v>
      </c>
      <c r="G7" s="16" t="n">
        <v>3</v>
      </c>
      <c r="H7" s="14" t="n">
        <f aca="false">F7*G7</f>
        <v>9</v>
      </c>
      <c r="I7" s="15" t="s">
        <v>95</v>
      </c>
      <c r="J7" s="15" t="s">
        <v>96</v>
      </c>
      <c r="K7" s="15" t="s">
        <v>96</v>
      </c>
      <c r="L7" s="15" t="s">
        <v>124</v>
      </c>
      <c r="M7" s="15" t="s">
        <v>119</v>
      </c>
      <c r="N7" s="15" t="s">
        <v>99</v>
      </c>
      <c r="O7" s="15" t="s">
        <v>100</v>
      </c>
      <c r="P7" s="17" t="n">
        <v>0</v>
      </c>
      <c r="Q7" s="17" t="n">
        <v>1</v>
      </c>
      <c r="R7" s="17" t="n">
        <v>1</v>
      </c>
      <c r="S7" s="17" t="n">
        <v>0</v>
      </c>
      <c r="T7" s="17" t="n">
        <v>0</v>
      </c>
      <c r="U7" s="19" t="s">
        <v>49</v>
      </c>
      <c r="V7" s="15"/>
    </row>
    <row r="8" customFormat="false" ht="23.85" hidden="false" customHeight="false" outlineLevel="0" collapsed="false">
      <c r="A8" s="14" t="s">
        <v>125</v>
      </c>
      <c r="B8" s="15" t="s">
        <v>32</v>
      </c>
      <c r="C8" s="15" t="s">
        <v>126</v>
      </c>
      <c r="D8" s="15" t="s">
        <v>127</v>
      </c>
      <c r="E8" s="15" t="s">
        <v>83</v>
      </c>
      <c r="F8" s="14" t="n">
        <f aca="false">IF(E8="ALL",3,IF(E8="Global",1,LEN(E8)-LEN(SUBSTITUTE(E8,",",""))+1))</f>
        <v>3</v>
      </c>
      <c r="G8" s="16" t="n">
        <v>2</v>
      </c>
      <c r="H8" s="14" t="n">
        <f aca="false">F8*G8</f>
        <v>6</v>
      </c>
      <c r="I8" s="15" t="s">
        <v>95</v>
      </c>
      <c r="J8" s="15" t="s">
        <v>96</v>
      </c>
      <c r="K8" s="15" t="s">
        <v>96</v>
      </c>
      <c r="L8" s="15" t="s">
        <v>128</v>
      </c>
      <c r="M8" s="15" t="s">
        <v>119</v>
      </c>
      <c r="N8" s="15" t="s">
        <v>99</v>
      </c>
      <c r="O8" s="15" t="s">
        <v>100</v>
      </c>
      <c r="P8" s="17" t="n">
        <v>0</v>
      </c>
      <c r="Q8" s="17" t="n">
        <v>0</v>
      </c>
      <c r="R8" s="17" t="n">
        <v>1</v>
      </c>
      <c r="S8" s="17" t="n">
        <v>0</v>
      </c>
      <c r="T8" s="17" t="n">
        <v>0</v>
      </c>
      <c r="U8" s="20" t="s">
        <v>50</v>
      </c>
      <c r="V8" s="15" t="s">
        <v>129</v>
      </c>
    </row>
    <row r="9" customFormat="false" ht="23.85" hidden="false" customHeight="false" outlineLevel="0" collapsed="false">
      <c r="A9" s="14" t="s">
        <v>130</v>
      </c>
      <c r="B9" s="15" t="s">
        <v>32</v>
      </c>
      <c r="C9" s="15" t="s">
        <v>131</v>
      </c>
      <c r="D9" s="15" t="s">
        <v>132</v>
      </c>
      <c r="E9" s="15" t="s">
        <v>83</v>
      </c>
      <c r="F9" s="14" t="n">
        <f aca="false">IF(E9="ALL",3,IF(E9="Global",1,LEN(E9)-LEN(SUBSTITUTE(E9,",",""))+1))</f>
        <v>3</v>
      </c>
      <c r="G9" s="16" t="n">
        <v>2</v>
      </c>
      <c r="H9" s="14" t="n">
        <f aca="false">F9*G9</f>
        <v>6</v>
      </c>
      <c r="I9" s="15" t="s">
        <v>133</v>
      </c>
      <c r="J9" s="15" t="s">
        <v>85</v>
      </c>
      <c r="K9" s="15" t="s">
        <v>96</v>
      </c>
      <c r="L9" s="15" t="s">
        <v>134</v>
      </c>
      <c r="M9" s="15" t="s">
        <v>119</v>
      </c>
      <c r="N9" s="15" t="s">
        <v>113</v>
      </c>
      <c r="O9" s="15" t="s">
        <v>100</v>
      </c>
      <c r="P9" s="17" t="n">
        <v>0</v>
      </c>
      <c r="Q9" s="17" t="n">
        <v>1</v>
      </c>
      <c r="R9" s="17" t="n">
        <v>1</v>
      </c>
      <c r="S9" s="17" t="n">
        <v>0</v>
      </c>
      <c r="T9" s="17" t="n">
        <v>0</v>
      </c>
      <c r="U9" s="18" t="s">
        <v>48</v>
      </c>
      <c r="V9" s="15" t="s">
        <v>135</v>
      </c>
    </row>
    <row r="10" customFormat="false" ht="35.05" hidden="false" customHeight="false" outlineLevel="0" collapsed="false">
      <c r="A10" s="14" t="s">
        <v>136</v>
      </c>
      <c r="B10" s="15" t="s">
        <v>32</v>
      </c>
      <c r="C10" s="15" t="s">
        <v>137</v>
      </c>
      <c r="D10" s="15" t="s">
        <v>138</v>
      </c>
      <c r="E10" s="15" t="s">
        <v>83</v>
      </c>
      <c r="F10" s="14" t="n">
        <f aca="false">IF(E10="ALL",3,IF(E10="Global",1,LEN(E10)-LEN(SUBSTITUTE(E10,",",""))+1))</f>
        <v>3</v>
      </c>
      <c r="G10" s="16" t="n">
        <v>1</v>
      </c>
      <c r="H10" s="14" t="n">
        <f aca="false">F10*G10</f>
        <v>3</v>
      </c>
      <c r="I10" s="15" t="s">
        <v>139</v>
      </c>
      <c r="J10" s="15" t="s">
        <v>96</v>
      </c>
      <c r="K10" s="15" t="s">
        <v>96</v>
      </c>
      <c r="L10" s="15" t="s">
        <v>140</v>
      </c>
      <c r="M10" s="15" t="s">
        <v>141</v>
      </c>
      <c r="N10" s="15" t="s">
        <v>142</v>
      </c>
      <c r="O10" s="15" t="s">
        <v>143</v>
      </c>
      <c r="P10" s="17" t="n">
        <v>0</v>
      </c>
      <c r="Q10" s="17" t="n">
        <v>0</v>
      </c>
      <c r="R10" s="17" t="n">
        <v>1</v>
      </c>
      <c r="S10" s="17" t="n">
        <v>0</v>
      </c>
      <c r="T10" s="17" t="n">
        <v>1</v>
      </c>
      <c r="U10" s="19" t="s">
        <v>49</v>
      </c>
      <c r="V10" s="15" t="s">
        <v>144</v>
      </c>
    </row>
    <row r="11" customFormat="false" ht="23.85" hidden="false" customHeight="false" outlineLevel="0" collapsed="false">
      <c r="A11" s="14" t="s">
        <v>145</v>
      </c>
      <c r="B11" s="15" t="s">
        <v>33</v>
      </c>
      <c r="C11" s="15" t="s">
        <v>146</v>
      </c>
      <c r="D11" s="15" t="s">
        <v>147</v>
      </c>
      <c r="E11" s="15" t="s">
        <v>83</v>
      </c>
      <c r="F11" s="14" t="n">
        <f aca="false">IF(E11="ALL",3,IF(E11="Global",1,LEN(E11)-LEN(SUBSTITUTE(E11,",",""))+1))</f>
        <v>3</v>
      </c>
      <c r="G11" s="16" t="n">
        <v>3</v>
      </c>
      <c r="H11" s="14" t="n">
        <f aca="false">F11*G11</f>
        <v>9</v>
      </c>
      <c r="I11" s="15" t="s">
        <v>148</v>
      </c>
      <c r="J11" s="15" t="s">
        <v>96</v>
      </c>
      <c r="K11" s="15" t="s">
        <v>96</v>
      </c>
      <c r="L11" s="15" t="s">
        <v>149</v>
      </c>
      <c r="M11" s="15" t="s">
        <v>119</v>
      </c>
      <c r="N11" s="15" t="s">
        <v>99</v>
      </c>
      <c r="O11" s="15" t="s">
        <v>100</v>
      </c>
      <c r="P11" s="17" t="n">
        <v>0</v>
      </c>
      <c r="Q11" s="17" t="n">
        <v>1</v>
      </c>
      <c r="R11" s="17" t="n">
        <v>1</v>
      </c>
      <c r="S11" s="17" t="n">
        <v>0</v>
      </c>
      <c r="T11" s="17" t="n">
        <v>0</v>
      </c>
      <c r="U11" s="18" t="s">
        <v>48</v>
      </c>
      <c r="V11" s="15"/>
    </row>
    <row r="12" customFormat="false" ht="23.85" hidden="false" customHeight="false" outlineLevel="0" collapsed="false">
      <c r="A12" s="14" t="s">
        <v>150</v>
      </c>
      <c r="B12" s="15" t="s">
        <v>33</v>
      </c>
      <c r="C12" s="15" t="s">
        <v>151</v>
      </c>
      <c r="D12" s="15" t="s">
        <v>152</v>
      </c>
      <c r="E12" s="15" t="s">
        <v>83</v>
      </c>
      <c r="F12" s="14" t="n">
        <f aca="false">IF(E12="ALL",3,IF(E12="Global",1,LEN(E12)-LEN(SUBSTITUTE(E12,",",""))+1))</f>
        <v>3</v>
      </c>
      <c r="G12" s="16" t="n">
        <v>1</v>
      </c>
      <c r="H12" s="14" t="n">
        <f aca="false">F12*G12</f>
        <v>3</v>
      </c>
      <c r="I12" s="15" t="s">
        <v>95</v>
      </c>
      <c r="J12" s="15" t="s">
        <v>96</v>
      </c>
      <c r="K12" s="15" t="s">
        <v>96</v>
      </c>
      <c r="L12" s="15" t="s">
        <v>153</v>
      </c>
      <c r="M12" s="15" t="s">
        <v>119</v>
      </c>
      <c r="N12" s="15" t="s">
        <v>99</v>
      </c>
      <c r="O12" s="15" t="s">
        <v>100</v>
      </c>
      <c r="P12" s="17" t="n">
        <v>0</v>
      </c>
      <c r="Q12" s="17" t="n">
        <v>1</v>
      </c>
      <c r="R12" s="17" t="n">
        <v>1</v>
      </c>
      <c r="S12" s="17" t="n">
        <v>0</v>
      </c>
      <c r="T12" s="17" t="n">
        <v>0</v>
      </c>
      <c r="U12" s="18" t="s">
        <v>48</v>
      </c>
      <c r="V12" s="15" t="s">
        <v>101</v>
      </c>
    </row>
    <row r="13" customFormat="false" ht="23.85" hidden="false" customHeight="false" outlineLevel="0" collapsed="false">
      <c r="A13" s="14" t="s">
        <v>154</v>
      </c>
      <c r="B13" s="15" t="s">
        <v>33</v>
      </c>
      <c r="C13" s="15" t="s">
        <v>155</v>
      </c>
      <c r="D13" s="15" t="s">
        <v>156</v>
      </c>
      <c r="E13" s="15" t="s">
        <v>83</v>
      </c>
      <c r="F13" s="14" t="n">
        <f aca="false">IF(E13="ALL",3,IF(E13="Global",1,LEN(E13)-LEN(SUBSTITUTE(E13,",",""))+1))</f>
        <v>3</v>
      </c>
      <c r="G13" s="16" t="n">
        <v>1</v>
      </c>
      <c r="H13" s="14" t="n">
        <f aca="false">F13*G13</f>
        <v>3</v>
      </c>
      <c r="I13" s="15" t="s">
        <v>95</v>
      </c>
      <c r="J13" s="15" t="s">
        <v>96</v>
      </c>
      <c r="K13" s="15" t="s">
        <v>96</v>
      </c>
      <c r="L13" s="15" t="s">
        <v>153</v>
      </c>
      <c r="M13" s="15" t="s">
        <v>157</v>
      </c>
      <c r="N13" s="15" t="s">
        <v>99</v>
      </c>
      <c r="O13" s="15" t="s">
        <v>100</v>
      </c>
      <c r="P13" s="17" t="n">
        <v>0</v>
      </c>
      <c r="Q13" s="17" t="n">
        <v>1</v>
      </c>
      <c r="R13" s="17" t="n">
        <v>1</v>
      </c>
      <c r="S13" s="17" t="n">
        <v>0</v>
      </c>
      <c r="T13" s="17" t="n">
        <v>0</v>
      </c>
      <c r="U13" s="18" t="s">
        <v>48</v>
      </c>
      <c r="V13" s="15"/>
    </row>
    <row r="14" customFormat="false" ht="23.85" hidden="false" customHeight="false" outlineLevel="0" collapsed="false">
      <c r="A14" s="14" t="s">
        <v>158</v>
      </c>
      <c r="B14" s="15" t="s">
        <v>33</v>
      </c>
      <c r="C14" s="15" t="s">
        <v>159</v>
      </c>
      <c r="D14" s="15" t="s">
        <v>160</v>
      </c>
      <c r="E14" s="15" t="s">
        <v>83</v>
      </c>
      <c r="F14" s="14" t="n">
        <f aca="false">IF(E14="ALL",3,IF(E14="Global",1,LEN(E14)-LEN(SUBSTITUTE(E14,",",""))+1))</f>
        <v>3</v>
      </c>
      <c r="G14" s="16" t="n">
        <v>2</v>
      </c>
      <c r="H14" s="14" t="n">
        <f aca="false">F14*G14</f>
        <v>6</v>
      </c>
      <c r="I14" s="15" t="s">
        <v>161</v>
      </c>
      <c r="J14" s="15" t="s">
        <v>96</v>
      </c>
      <c r="K14" s="15" t="s">
        <v>96</v>
      </c>
      <c r="L14" s="15" t="s">
        <v>162</v>
      </c>
      <c r="M14" s="15" t="s">
        <v>163</v>
      </c>
      <c r="N14" s="15" t="s">
        <v>99</v>
      </c>
      <c r="O14" s="15" t="s">
        <v>100</v>
      </c>
      <c r="P14" s="17" t="n">
        <v>0</v>
      </c>
      <c r="Q14" s="17" t="n">
        <v>1</v>
      </c>
      <c r="R14" s="17" t="n">
        <v>1</v>
      </c>
      <c r="S14" s="17" t="n">
        <v>0</v>
      </c>
      <c r="T14" s="17" t="n">
        <v>0</v>
      </c>
      <c r="U14" s="18" t="s">
        <v>48</v>
      </c>
      <c r="V14" s="15" t="s">
        <v>164</v>
      </c>
    </row>
    <row r="15" customFormat="false" ht="23.85" hidden="false" customHeight="false" outlineLevel="0" collapsed="false">
      <c r="A15" s="14" t="s">
        <v>165</v>
      </c>
      <c r="B15" s="15" t="s">
        <v>33</v>
      </c>
      <c r="C15" s="15" t="s">
        <v>166</v>
      </c>
      <c r="D15" s="15" t="s">
        <v>167</v>
      </c>
      <c r="E15" s="15" t="s">
        <v>83</v>
      </c>
      <c r="F15" s="14" t="n">
        <f aca="false">IF(E15="ALL",3,IF(E15="Global",1,LEN(E15)-LEN(SUBSTITUTE(E15,",",""))+1))</f>
        <v>3</v>
      </c>
      <c r="G15" s="16" t="n">
        <v>2</v>
      </c>
      <c r="H15" s="14" t="n">
        <f aca="false">F15*G15</f>
        <v>6</v>
      </c>
      <c r="I15" s="15" t="s">
        <v>95</v>
      </c>
      <c r="J15" s="15" t="s">
        <v>96</v>
      </c>
      <c r="K15" s="15" t="s">
        <v>96</v>
      </c>
      <c r="L15" s="15" t="s">
        <v>112</v>
      </c>
      <c r="M15" s="15" t="s">
        <v>119</v>
      </c>
      <c r="N15" s="15" t="s">
        <v>99</v>
      </c>
      <c r="O15" s="15" t="s">
        <v>100</v>
      </c>
      <c r="P15" s="17" t="n">
        <v>0</v>
      </c>
      <c r="Q15" s="17" t="n">
        <v>1</v>
      </c>
      <c r="R15" s="17" t="n">
        <v>1</v>
      </c>
      <c r="S15" s="17" t="n">
        <v>0</v>
      </c>
      <c r="T15" s="17" t="n">
        <v>0</v>
      </c>
      <c r="U15" s="19" t="s">
        <v>49</v>
      </c>
      <c r="V15" s="15"/>
    </row>
    <row r="16" customFormat="false" ht="23.85" hidden="false" customHeight="false" outlineLevel="0" collapsed="false">
      <c r="A16" s="14" t="s">
        <v>168</v>
      </c>
      <c r="B16" s="15" t="s">
        <v>33</v>
      </c>
      <c r="C16" s="15" t="s">
        <v>169</v>
      </c>
      <c r="D16" s="15" t="s">
        <v>170</v>
      </c>
      <c r="E16" s="15" t="s">
        <v>83</v>
      </c>
      <c r="F16" s="14" t="n">
        <f aca="false">IF(E16="ALL",3,IF(E16="Global",1,LEN(E16)-LEN(SUBSTITUTE(E16,",",""))+1))</f>
        <v>3</v>
      </c>
      <c r="G16" s="16" t="n">
        <v>1</v>
      </c>
      <c r="H16" s="14" t="n">
        <f aca="false">F16*G16</f>
        <v>3</v>
      </c>
      <c r="I16" s="15" t="s">
        <v>95</v>
      </c>
      <c r="J16" s="15" t="s">
        <v>96</v>
      </c>
      <c r="K16" s="15" t="s">
        <v>96</v>
      </c>
      <c r="L16" s="15"/>
      <c r="M16" s="15" t="s">
        <v>119</v>
      </c>
      <c r="N16" s="15" t="s">
        <v>99</v>
      </c>
      <c r="O16" s="15" t="s">
        <v>100</v>
      </c>
      <c r="P16" s="17" t="n">
        <v>0</v>
      </c>
      <c r="Q16" s="17" t="n">
        <v>0</v>
      </c>
      <c r="R16" s="17" t="n">
        <v>1</v>
      </c>
      <c r="S16" s="17" t="n">
        <v>0</v>
      </c>
      <c r="T16" s="17" t="n">
        <v>0</v>
      </c>
      <c r="U16" s="20" t="s">
        <v>50</v>
      </c>
      <c r="V16" s="15"/>
    </row>
    <row r="17" customFormat="false" ht="23.85" hidden="false" customHeight="false" outlineLevel="0" collapsed="false">
      <c r="A17" s="14" t="s">
        <v>171</v>
      </c>
      <c r="B17" s="15" t="s">
        <v>34</v>
      </c>
      <c r="C17" s="15" t="s">
        <v>172</v>
      </c>
      <c r="D17" s="15" t="s">
        <v>173</v>
      </c>
      <c r="E17" s="15" t="s">
        <v>83</v>
      </c>
      <c r="F17" s="14" t="n">
        <f aca="false">IF(E17="ALL",3,IF(E17="Global",1,LEN(E17)-LEN(SUBSTITUTE(E17,",",""))+1))</f>
        <v>3</v>
      </c>
      <c r="G17" s="16" t="n">
        <v>3</v>
      </c>
      <c r="H17" s="14" t="n">
        <f aca="false">F17*G17</f>
        <v>9</v>
      </c>
      <c r="I17" s="15" t="s">
        <v>174</v>
      </c>
      <c r="J17" s="15" t="s">
        <v>96</v>
      </c>
      <c r="K17" s="15" t="s">
        <v>96</v>
      </c>
      <c r="L17" s="15" t="s">
        <v>175</v>
      </c>
      <c r="M17" s="15" t="s">
        <v>176</v>
      </c>
      <c r="N17" s="15" t="s">
        <v>177</v>
      </c>
      <c r="O17" s="15" t="s">
        <v>100</v>
      </c>
      <c r="P17" s="17" t="n">
        <v>0</v>
      </c>
      <c r="Q17" s="17" t="n">
        <v>1</v>
      </c>
      <c r="R17" s="17" t="n">
        <v>1</v>
      </c>
      <c r="S17" s="17" t="n">
        <v>0</v>
      </c>
      <c r="T17" s="17" t="n">
        <v>0</v>
      </c>
      <c r="U17" s="18" t="s">
        <v>48</v>
      </c>
      <c r="V17" s="15" t="s">
        <v>178</v>
      </c>
    </row>
    <row r="18" customFormat="false" ht="23.85" hidden="false" customHeight="false" outlineLevel="0" collapsed="false">
      <c r="A18" s="14" t="s">
        <v>179</v>
      </c>
      <c r="B18" s="15" t="s">
        <v>34</v>
      </c>
      <c r="C18" s="15" t="s">
        <v>180</v>
      </c>
      <c r="D18" s="15" t="s">
        <v>181</v>
      </c>
      <c r="E18" s="15" t="s">
        <v>83</v>
      </c>
      <c r="F18" s="14" t="n">
        <f aca="false">IF(E18="ALL",3,IF(E18="Global",1,LEN(E18)-LEN(SUBSTITUTE(E18,",",""))+1))</f>
        <v>3</v>
      </c>
      <c r="G18" s="16" t="n">
        <v>2</v>
      </c>
      <c r="H18" s="14" t="n">
        <f aca="false">F18*G18</f>
        <v>6</v>
      </c>
      <c r="I18" s="15" t="s">
        <v>95</v>
      </c>
      <c r="J18" s="15" t="s">
        <v>96</v>
      </c>
      <c r="K18" s="15" t="s">
        <v>96</v>
      </c>
      <c r="L18" s="15" t="s">
        <v>182</v>
      </c>
      <c r="M18" s="15" t="s">
        <v>119</v>
      </c>
      <c r="N18" s="15" t="s">
        <v>177</v>
      </c>
      <c r="O18" s="15" t="s">
        <v>100</v>
      </c>
      <c r="P18" s="17" t="n">
        <v>0</v>
      </c>
      <c r="Q18" s="17" t="n">
        <v>1</v>
      </c>
      <c r="R18" s="17" t="n">
        <v>1</v>
      </c>
      <c r="S18" s="17" t="n">
        <v>0</v>
      </c>
      <c r="T18" s="17" t="n">
        <v>0</v>
      </c>
      <c r="U18" s="18" t="s">
        <v>48</v>
      </c>
      <c r="V18" s="15"/>
    </row>
    <row r="19" customFormat="false" ht="23.85" hidden="false" customHeight="false" outlineLevel="0" collapsed="false">
      <c r="A19" s="14" t="s">
        <v>183</v>
      </c>
      <c r="B19" s="15" t="s">
        <v>34</v>
      </c>
      <c r="C19" s="15" t="s">
        <v>184</v>
      </c>
      <c r="D19" s="15" t="s">
        <v>185</v>
      </c>
      <c r="E19" s="15" t="s">
        <v>83</v>
      </c>
      <c r="F19" s="14" t="n">
        <f aca="false">IF(E19="ALL",3,IF(E19="Global",1,LEN(E19)-LEN(SUBSTITUTE(E19,",",""))+1))</f>
        <v>3</v>
      </c>
      <c r="G19" s="16" t="n">
        <v>1</v>
      </c>
      <c r="H19" s="14" t="n">
        <f aca="false">F19*G19</f>
        <v>3</v>
      </c>
      <c r="I19" s="15" t="s">
        <v>95</v>
      </c>
      <c r="J19" s="15" t="s">
        <v>96</v>
      </c>
      <c r="K19" s="15" t="s">
        <v>96</v>
      </c>
      <c r="L19" s="15"/>
      <c r="M19" s="15" t="s">
        <v>119</v>
      </c>
      <c r="N19" s="15" t="s">
        <v>177</v>
      </c>
      <c r="O19" s="15" t="s">
        <v>100</v>
      </c>
      <c r="P19" s="17" t="n">
        <v>0</v>
      </c>
      <c r="Q19" s="17" t="n">
        <v>1</v>
      </c>
      <c r="R19" s="17" t="n">
        <v>1</v>
      </c>
      <c r="S19" s="17" t="n">
        <v>0</v>
      </c>
      <c r="T19" s="17" t="n">
        <v>0</v>
      </c>
      <c r="U19" s="19" t="s">
        <v>49</v>
      </c>
      <c r="V19" s="15" t="s">
        <v>186</v>
      </c>
    </row>
    <row r="20" customFormat="false" ht="23.85" hidden="false" customHeight="false" outlineLevel="0" collapsed="false">
      <c r="A20" s="14" t="s">
        <v>187</v>
      </c>
      <c r="B20" s="15" t="s">
        <v>34</v>
      </c>
      <c r="C20" s="15" t="s">
        <v>188</v>
      </c>
      <c r="D20" s="15" t="s">
        <v>189</v>
      </c>
      <c r="E20" s="15" t="s">
        <v>190</v>
      </c>
      <c r="F20" s="14" t="n">
        <f aca="false">IF(E20="ALL",3,IF(E20="Global",1,LEN(E20)-LEN(SUBSTITUTE(E20,",",""))+1))</f>
        <v>2</v>
      </c>
      <c r="G20" s="16" t="n">
        <v>2</v>
      </c>
      <c r="H20" s="14" t="n">
        <f aca="false">F20*G20</f>
        <v>4</v>
      </c>
      <c r="I20" s="15" t="s">
        <v>191</v>
      </c>
      <c r="J20" s="15" t="s">
        <v>96</v>
      </c>
      <c r="K20" s="15" t="s">
        <v>96</v>
      </c>
      <c r="L20" s="15" t="s">
        <v>192</v>
      </c>
      <c r="M20" s="15" t="s">
        <v>119</v>
      </c>
      <c r="N20" s="15" t="s">
        <v>177</v>
      </c>
      <c r="O20" s="15" t="s">
        <v>100</v>
      </c>
      <c r="P20" s="17" t="n">
        <v>0</v>
      </c>
      <c r="Q20" s="17" t="n">
        <v>1</v>
      </c>
      <c r="R20" s="17" t="n">
        <v>1</v>
      </c>
      <c r="S20" s="17" t="n">
        <v>0</v>
      </c>
      <c r="T20" s="17" t="n">
        <v>0</v>
      </c>
      <c r="U20" s="18" t="s">
        <v>48</v>
      </c>
      <c r="V20" s="15" t="s">
        <v>193</v>
      </c>
    </row>
    <row r="21" customFormat="false" ht="35.05" hidden="false" customHeight="false" outlineLevel="0" collapsed="false">
      <c r="A21" s="14" t="s">
        <v>194</v>
      </c>
      <c r="B21" s="15" t="s">
        <v>34</v>
      </c>
      <c r="C21" s="15" t="s">
        <v>195</v>
      </c>
      <c r="D21" s="15" t="s">
        <v>196</v>
      </c>
      <c r="E21" s="15" t="s">
        <v>83</v>
      </c>
      <c r="F21" s="14" t="n">
        <f aca="false">IF(E21="ALL",3,IF(E21="Global",1,LEN(E21)-LEN(SUBSTITUTE(E21,",",""))+1))</f>
        <v>3</v>
      </c>
      <c r="G21" s="16" t="n">
        <v>1</v>
      </c>
      <c r="H21" s="14" t="n">
        <f aca="false">F21*G21</f>
        <v>3</v>
      </c>
      <c r="I21" s="15" t="s">
        <v>197</v>
      </c>
      <c r="J21" s="15" t="s">
        <v>198</v>
      </c>
      <c r="K21" s="15" t="s">
        <v>96</v>
      </c>
      <c r="L21" s="15"/>
      <c r="M21" s="15" t="s">
        <v>199</v>
      </c>
      <c r="N21" s="15" t="s">
        <v>200</v>
      </c>
      <c r="O21" s="15" t="s">
        <v>143</v>
      </c>
      <c r="P21" s="17" t="n">
        <v>0</v>
      </c>
      <c r="Q21" s="17" t="n">
        <v>1</v>
      </c>
      <c r="R21" s="17" t="n">
        <v>1</v>
      </c>
      <c r="S21" s="17" t="n">
        <v>0</v>
      </c>
      <c r="T21" s="17" t="n">
        <v>0</v>
      </c>
      <c r="U21" s="19" t="s">
        <v>49</v>
      </c>
      <c r="V21" s="15"/>
    </row>
    <row r="22" customFormat="false" ht="15" hidden="false" customHeight="false" outlineLevel="0" collapsed="false">
      <c r="A22" s="14" t="s">
        <v>201</v>
      </c>
      <c r="B22" s="15" t="s">
        <v>34</v>
      </c>
      <c r="C22" s="15" t="s">
        <v>202</v>
      </c>
      <c r="D22" s="15" t="s">
        <v>203</v>
      </c>
      <c r="E22" s="15" t="s">
        <v>83</v>
      </c>
      <c r="F22" s="14" t="n">
        <f aca="false">IF(E22="ALL",3,IF(E22="Global",1,LEN(E22)-LEN(SUBSTITUTE(E22,",",""))+1))</f>
        <v>3</v>
      </c>
      <c r="G22" s="16" t="n">
        <v>2</v>
      </c>
      <c r="H22" s="14" t="n">
        <f aca="false">F22*G22</f>
        <v>6</v>
      </c>
      <c r="I22" s="15" t="s">
        <v>204</v>
      </c>
      <c r="J22" s="15" t="s">
        <v>96</v>
      </c>
      <c r="K22" s="15" t="s">
        <v>96</v>
      </c>
      <c r="L22" s="15" t="s">
        <v>162</v>
      </c>
      <c r="M22" s="15" t="s">
        <v>106</v>
      </c>
      <c r="N22" s="15" t="s">
        <v>205</v>
      </c>
      <c r="O22" s="15" t="s">
        <v>206</v>
      </c>
      <c r="P22" s="17" t="n">
        <v>0</v>
      </c>
      <c r="Q22" s="17" t="n">
        <v>1</v>
      </c>
      <c r="R22" s="17" t="n">
        <v>1</v>
      </c>
      <c r="S22" s="17" t="n">
        <v>1</v>
      </c>
      <c r="T22" s="17" t="n">
        <v>0</v>
      </c>
      <c r="U22" s="18" t="s">
        <v>48</v>
      </c>
      <c r="V22" s="15"/>
    </row>
    <row r="23" customFormat="false" ht="35.05" hidden="false" customHeight="false" outlineLevel="0" collapsed="false">
      <c r="A23" s="14" t="s">
        <v>207</v>
      </c>
      <c r="B23" s="15" t="s">
        <v>34</v>
      </c>
      <c r="C23" s="15" t="s">
        <v>208</v>
      </c>
      <c r="D23" s="15" t="s">
        <v>209</v>
      </c>
      <c r="E23" s="15" t="s">
        <v>83</v>
      </c>
      <c r="F23" s="14" t="n">
        <f aca="false">IF(E23="ALL",3,IF(E23="Global",1,LEN(E23)-LEN(SUBSTITUTE(E23,",",""))+1))</f>
        <v>3</v>
      </c>
      <c r="G23" s="16" t="n">
        <v>2</v>
      </c>
      <c r="H23" s="14" t="n">
        <f aca="false">F23*G23</f>
        <v>6</v>
      </c>
      <c r="I23" s="15" t="s">
        <v>210</v>
      </c>
      <c r="J23" s="15" t="s">
        <v>211</v>
      </c>
      <c r="K23" s="15" t="s">
        <v>96</v>
      </c>
      <c r="L23" s="15" t="s">
        <v>212</v>
      </c>
      <c r="M23" s="15" t="s">
        <v>141</v>
      </c>
      <c r="N23" s="15" t="s">
        <v>213</v>
      </c>
      <c r="O23" s="15" t="s">
        <v>143</v>
      </c>
      <c r="P23" s="17" t="n">
        <v>0</v>
      </c>
      <c r="Q23" s="17" t="n">
        <v>1</v>
      </c>
      <c r="R23" s="17" t="n">
        <v>1</v>
      </c>
      <c r="S23" s="17" t="n">
        <v>0</v>
      </c>
      <c r="T23" s="17" t="n">
        <v>0</v>
      </c>
      <c r="U23" s="19" t="s">
        <v>49</v>
      </c>
      <c r="V23" s="15" t="s">
        <v>214</v>
      </c>
    </row>
    <row r="24" customFormat="false" ht="23.85" hidden="false" customHeight="false" outlineLevel="0" collapsed="false">
      <c r="A24" s="14" t="s">
        <v>215</v>
      </c>
      <c r="B24" s="15" t="s">
        <v>35</v>
      </c>
      <c r="C24" s="15" t="s">
        <v>216</v>
      </c>
      <c r="D24" s="15" t="s">
        <v>217</v>
      </c>
      <c r="E24" s="15" t="s">
        <v>190</v>
      </c>
      <c r="F24" s="14" t="n">
        <f aca="false">IF(E24="ALL",3,IF(E24="Global",1,LEN(E24)-LEN(SUBSTITUTE(E24,",",""))+1))</f>
        <v>2</v>
      </c>
      <c r="G24" s="16" t="n">
        <v>3</v>
      </c>
      <c r="H24" s="14" t="n">
        <f aca="false">F24*G24</f>
        <v>6</v>
      </c>
      <c r="I24" s="15" t="s">
        <v>218</v>
      </c>
      <c r="J24" s="15" t="s">
        <v>96</v>
      </c>
      <c r="K24" s="15" t="s">
        <v>96</v>
      </c>
      <c r="L24" s="15" t="s">
        <v>219</v>
      </c>
      <c r="M24" s="15" t="s">
        <v>106</v>
      </c>
      <c r="N24" s="15" t="s">
        <v>99</v>
      </c>
      <c r="O24" s="15" t="s">
        <v>100</v>
      </c>
      <c r="P24" s="17" t="n">
        <v>0</v>
      </c>
      <c r="Q24" s="17" t="n">
        <v>1</v>
      </c>
      <c r="R24" s="17" t="n">
        <v>1</v>
      </c>
      <c r="S24" s="17" t="n">
        <v>1</v>
      </c>
      <c r="T24" s="17" t="n">
        <v>0</v>
      </c>
      <c r="U24" s="18" t="s">
        <v>48</v>
      </c>
      <c r="V24" s="15" t="s">
        <v>220</v>
      </c>
    </row>
    <row r="25" customFormat="false" ht="23.85" hidden="false" customHeight="false" outlineLevel="0" collapsed="false">
      <c r="A25" s="14" t="s">
        <v>221</v>
      </c>
      <c r="B25" s="15" t="s">
        <v>35</v>
      </c>
      <c r="C25" s="15" t="s">
        <v>222</v>
      </c>
      <c r="D25" s="15" t="s">
        <v>223</v>
      </c>
      <c r="E25" s="15" t="s">
        <v>190</v>
      </c>
      <c r="F25" s="14" t="n">
        <f aca="false">IF(E25="ALL",3,IF(E25="Global",1,LEN(E25)-LEN(SUBSTITUTE(E25,",",""))+1))</f>
        <v>2</v>
      </c>
      <c r="G25" s="16" t="n">
        <v>3</v>
      </c>
      <c r="H25" s="14" t="n">
        <f aca="false">F25*G25</f>
        <v>6</v>
      </c>
      <c r="I25" s="15" t="s">
        <v>224</v>
      </c>
      <c r="J25" s="15" t="s">
        <v>96</v>
      </c>
      <c r="K25" s="15" t="s">
        <v>96</v>
      </c>
      <c r="L25" s="15" t="s">
        <v>225</v>
      </c>
      <c r="M25" s="15" t="s">
        <v>163</v>
      </c>
      <c r="N25" s="15" t="s">
        <v>99</v>
      </c>
      <c r="O25" s="15" t="s">
        <v>100</v>
      </c>
      <c r="P25" s="17" t="n">
        <v>0</v>
      </c>
      <c r="Q25" s="17" t="n">
        <v>1</v>
      </c>
      <c r="R25" s="17" t="n">
        <v>1</v>
      </c>
      <c r="S25" s="17" t="n">
        <v>1</v>
      </c>
      <c r="T25" s="17" t="n">
        <v>0</v>
      </c>
      <c r="U25" s="18" t="s">
        <v>48</v>
      </c>
      <c r="V25" s="15" t="s">
        <v>226</v>
      </c>
    </row>
    <row r="26" customFormat="false" ht="23.85" hidden="false" customHeight="false" outlineLevel="0" collapsed="false">
      <c r="A26" s="14" t="s">
        <v>227</v>
      </c>
      <c r="B26" s="15" t="s">
        <v>35</v>
      </c>
      <c r="C26" s="15" t="s">
        <v>228</v>
      </c>
      <c r="D26" s="15" t="s">
        <v>229</v>
      </c>
      <c r="E26" s="15" t="s">
        <v>190</v>
      </c>
      <c r="F26" s="14" t="n">
        <f aca="false">IF(E26="ALL",3,IF(E26="Global",1,LEN(E26)-LEN(SUBSTITUTE(E26,",",""))+1))</f>
        <v>2</v>
      </c>
      <c r="G26" s="16" t="n">
        <v>1</v>
      </c>
      <c r="H26" s="14" t="n">
        <f aca="false">F26*G26</f>
        <v>2</v>
      </c>
      <c r="I26" s="15" t="s">
        <v>95</v>
      </c>
      <c r="J26" s="15" t="s">
        <v>96</v>
      </c>
      <c r="K26" s="15" t="s">
        <v>96</v>
      </c>
      <c r="L26" s="15"/>
      <c r="M26" s="15" t="s">
        <v>119</v>
      </c>
      <c r="N26" s="15" t="s">
        <v>99</v>
      </c>
      <c r="O26" s="15" t="s">
        <v>100</v>
      </c>
      <c r="P26" s="17" t="n">
        <v>0</v>
      </c>
      <c r="Q26" s="17" t="n">
        <v>0</v>
      </c>
      <c r="R26" s="17" t="n">
        <v>1</v>
      </c>
      <c r="S26" s="17" t="n">
        <v>1</v>
      </c>
      <c r="T26" s="17" t="n">
        <v>0</v>
      </c>
      <c r="U26" s="19" t="s">
        <v>49</v>
      </c>
      <c r="V26" s="15" t="s">
        <v>230</v>
      </c>
    </row>
    <row r="27" customFormat="false" ht="23.85" hidden="false" customHeight="false" outlineLevel="0" collapsed="false">
      <c r="A27" s="14" t="s">
        <v>231</v>
      </c>
      <c r="B27" s="15" t="s">
        <v>35</v>
      </c>
      <c r="C27" s="15" t="s">
        <v>232</v>
      </c>
      <c r="D27" s="15" t="s">
        <v>233</v>
      </c>
      <c r="E27" s="15" t="s">
        <v>190</v>
      </c>
      <c r="F27" s="14" t="n">
        <f aca="false">IF(E27="ALL",3,IF(E27="Global",1,LEN(E27)-LEN(SUBSTITUTE(E27,",",""))+1))</f>
        <v>2</v>
      </c>
      <c r="G27" s="16" t="n">
        <v>1</v>
      </c>
      <c r="H27" s="14" t="n">
        <f aca="false">F27*G27</f>
        <v>2</v>
      </c>
      <c r="I27" s="15" t="s">
        <v>95</v>
      </c>
      <c r="J27" s="15" t="s">
        <v>96</v>
      </c>
      <c r="K27" s="15" t="s">
        <v>96</v>
      </c>
      <c r="L27" s="15"/>
      <c r="M27" s="15" t="s">
        <v>119</v>
      </c>
      <c r="N27" s="15" t="s">
        <v>99</v>
      </c>
      <c r="O27" s="15" t="s">
        <v>100</v>
      </c>
      <c r="P27" s="17" t="n">
        <v>0</v>
      </c>
      <c r="Q27" s="17" t="n">
        <v>1</v>
      </c>
      <c r="R27" s="17" t="n">
        <v>1</v>
      </c>
      <c r="S27" s="17" t="n">
        <v>0</v>
      </c>
      <c r="T27" s="17" t="n">
        <v>0</v>
      </c>
      <c r="U27" s="19" t="s">
        <v>49</v>
      </c>
      <c r="V27" s="15"/>
    </row>
    <row r="28" customFormat="false" ht="35.05" hidden="false" customHeight="false" outlineLevel="0" collapsed="false">
      <c r="A28" s="14" t="s">
        <v>234</v>
      </c>
      <c r="B28" s="15" t="s">
        <v>36</v>
      </c>
      <c r="C28" s="15" t="s">
        <v>235</v>
      </c>
      <c r="D28" s="15" t="s">
        <v>236</v>
      </c>
      <c r="E28" s="15" t="s">
        <v>237</v>
      </c>
      <c r="F28" s="14" t="n">
        <f aca="false">IF(E28="ALL",3,IF(E28="Global",1,LEN(E28)-LEN(SUBSTITUTE(E28,",",""))+1))</f>
        <v>1</v>
      </c>
      <c r="G28" s="16" t="n">
        <v>3</v>
      </c>
      <c r="H28" s="14" t="n">
        <f aca="false">F28*G28</f>
        <v>3</v>
      </c>
      <c r="I28" s="15" t="s">
        <v>238</v>
      </c>
      <c r="J28" s="15" t="s">
        <v>211</v>
      </c>
      <c r="K28" s="15" t="s">
        <v>96</v>
      </c>
      <c r="L28" s="15" t="s">
        <v>239</v>
      </c>
      <c r="M28" s="15" t="s">
        <v>240</v>
      </c>
      <c r="N28" s="15" t="s">
        <v>241</v>
      </c>
      <c r="O28" s="15" t="s">
        <v>143</v>
      </c>
      <c r="P28" s="17" t="n">
        <v>0</v>
      </c>
      <c r="Q28" s="17" t="n">
        <v>1</v>
      </c>
      <c r="R28" s="17" t="n">
        <v>1</v>
      </c>
      <c r="S28" s="17" t="n">
        <v>0</v>
      </c>
      <c r="T28" s="17" t="n">
        <v>0</v>
      </c>
      <c r="U28" s="18" t="s">
        <v>48</v>
      </c>
      <c r="V28" s="15" t="s">
        <v>242</v>
      </c>
    </row>
    <row r="29" customFormat="false" ht="35.05" hidden="false" customHeight="false" outlineLevel="0" collapsed="false">
      <c r="A29" s="14" t="s">
        <v>243</v>
      </c>
      <c r="B29" s="15" t="s">
        <v>36</v>
      </c>
      <c r="C29" s="15" t="s">
        <v>244</v>
      </c>
      <c r="D29" s="15" t="s">
        <v>245</v>
      </c>
      <c r="E29" s="15" t="s">
        <v>246</v>
      </c>
      <c r="F29" s="14" t="n">
        <f aca="false">IF(E29="ALL",3,IF(E29="Global",1,LEN(E29)-LEN(SUBSTITUTE(E29,",",""))+1))</f>
        <v>1</v>
      </c>
      <c r="G29" s="16" t="n">
        <v>3</v>
      </c>
      <c r="H29" s="14" t="n">
        <f aca="false">F29*G29</f>
        <v>3</v>
      </c>
      <c r="I29" s="15" t="s">
        <v>247</v>
      </c>
      <c r="J29" s="15" t="s">
        <v>248</v>
      </c>
      <c r="K29" s="15" t="s">
        <v>96</v>
      </c>
      <c r="L29" s="15" t="s">
        <v>249</v>
      </c>
      <c r="M29" s="15" t="s">
        <v>250</v>
      </c>
      <c r="N29" s="15" t="s">
        <v>251</v>
      </c>
      <c r="O29" s="15" t="s">
        <v>143</v>
      </c>
      <c r="P29" s="17" t="n">
        <v>0</v>
      </c>
      <c r="Q29" s="17" t="n">
        <v>1</v>
      </c>
      <c r="R29" s="17" t="n">
        <v>1</v>
      </c>
      <c r="S29" s="17" t="n">
        <v>0</v>
      </c>
      <c r="T29" s="17" t="n">
        <v>0</v>
      </c>
      <c r="U29" s="18" t="s">
        <v>48</v>
      </c>
      <c r="V29" s="15" t="s">
        <v>252</v>
      </c>
    </row>
    <row r="30" customFormat="false" ht="35.05" hidden="false" customHeight="false" outlineLevel="0" collapsed="false">
      <c r="A30" s="14" t="s">
        <v>253</v>
      </c>
      <c r="B30" s="15" t="s">
        <v>36</v>
      </c>
      <c r="C30" s="15" t="s">
        <v>254</v>
      </c>
      <c r="D30" s="15" t="s">
        <v>255</v>
      </c>
      <c r="E30" s="15" t="s">
        <v>246</v>
      </c>
      <c r="F30" s="14" t="n">
        <f aca="false">IF(E30="ALL",3,IF(E30="Global",1,LEN(E30)-LEN(SUBSTITUTE(E30,",",""))+1))</f>
        <v>1</v>
      </c>
      <c r="G30" s="16" t="n">
        <v>2</v>
      </c>
      <c r="H30" s="14" t="n">
        <f aca="false">F30*G30</f>
        <v>2</v>
      </c>
      <c r="I30" s="15" t="s">
        <v>256</v>
      </c>
      <c r="J30" s="15" t="s">
        <v>211</v>
      </c>
      <c r="K30" s="15" t="s">
        <v>96</v>
      </c>
      <c r="L30" s="15" t="s">
        <v>257</v>
      </c>
      <c r="M30" s="15" t="s">
        <v>141</v>
      </c>
      <c r="N30" s="15" t="s">
        <v>258</v>
      </c>
      <c r="O30" s="15" t="s">
        <v>143</v>
      </c>
      <c r="P30" s="17" t="n">
        <v>0</v>
      </c>
      <c r="Q30" s="17" t="n">
        <v>1</v>
      </c>
      <c r="R30" s="17" t="n">
        <v>1</v>
      </c>
      <c r="S30" s="17" t="n">
        <v>0</v>
      </c>
      <c r="T30" s="17" t="n">
        <v>0</v>
      </c>
      <c r="U30" s="19" t="s">
        <v>49</v>
      </c>
      <c r="V30" s="15"/>
    </row>
    <row r="31" customFormat="false" ht="35.05" hidden="false" customHeight="false" outlineLevel="0" collapsed="false">
      <c r="A31" s="14" t="s">
        <v>259</v>
      </c>
      <c r="B31" s="15" t="s">
        <v>36</v>
      </c>
      <c r="C31" s="15" t="s">
        <v>260</v>
      </c>
      <c r="D31" s="15" t="s">
        <v>261</v>
      </c>
      <c r="E31" s="15" t="s">
        <v>262</v>
      </c>
      <c r="F31" s="14" t="n">
        <f aca="false">IF(E31="ALL",3,IF(E31="Global",1,LEN(E31)-LEN(SUBSTITUTE(E31,",",""))+1))</f>
        <v>1</v>
      </c>
      <c r="G31" s="16" t="n">
        <v>3</v>
      </c>
      <c r="H31" s="14" t="n">
        <f aca="false">F31*G31</f>
        <v>3</v>
      </c>
      <c r="I31" s="15" t="s">
        <v>263</v>
      </c>
      <c r="J31" s="15" t="s">
        <v>211</v>
      </c>
      <c r="K31" s="15" t="s">
        <v>96</v>
      </c>
      <c r="L31" s="15" t="s">
        <v>264</v>
      </c>
      <c r="M31" s="15" t="s">
        <v>141</v>
      </c>
      <c r="N31" s="15" t="s">
        <v>258</v>
      </c>
      <c r="O31" s="15" t="s">
        <v>143</v>
      </c>
      <c r="P31" s="17" t="n">
        <v>0</v>
      </c>
      <c r="Q31" s="17" t="n">
        <v>1</v>
      </c>
      <c r="R31" s="17" t="n">
        <v>1</v>
      </c>
      <c r="S31" s="17" t="n">
        <v>0</v>
      </c>
      <c r="T31" s="17" t="n">
        <v>0</v>
      </c>
      <c r="U31" s="18" t="s">
        <v>48</v>
      </c>
      <c r="V31" s="15" t="s">
        <v>265</v>
      </c>
    </row>
    <row r="32" customFormat="false" ht="35.05" hidden="false" customHeight="false" outlineLevel="0" collapsed="false">
      <c r="A32" s="14" t="s">
        <v>266</v>
      </c>
      <c r="B32" s="15" t="s">
        <v>36</v>
      </c>
      <c r="C32" s="15" t="s">
        <v>267</v>
      </c>
      <c r="D32" s="15" t="s">
        <v>268</v>
      </c>
      <c r="E32" s="15" t="s">
        <v>262</v>
      </c>
      <c r="F32" s="14" t="n">
        <f aca="false">IF(E32="ALL",3,IF(E32="Global",1,LEN(E32)-LEN(SUBSTITUTE(E32,",",""))+1))</f>
        <v>1</v>
      </c>
      <c r="G32" s="16" t="n">
        <v>2</v>
      </c>
      <c r="H32" s="14" t="n">
        <f aca="false">F32*G32</f>
        <v>2</v>
      </c>
      <c r="I32" s="15" t="s">
        <v>269</v>
      </c>
      <c r="J32" s="15" t="s">
        <v>198</v>
      </c>
      <c r="K32" s="15" t="s">
        <v>96</v>
      </c>
      <c r="L32" s="15" t="s">
        <v>270</v>
      </c>
      <c r="M32" s="15" t="s">
        <v>119</v>
      </c>
      <c r="N32" s="15" t="s">
        <v>258</v>
      </c>
      <c r="O32" s="15" t="s">
        <v>143</v>
      </c>
      <c r="P32" s="17" t="n">
        <v>0</v>
      </c>
      <c r="Q32" s="17" t="n">
        <v>1</v>
      </c>
      <c r="R32" s="17" t="n">
        <v>1</v>
      </c>
      <c r="S32" s="17" t="n">
        <v>0</v>
      </c>
      <c r="T32" s="17" t="n">
        <v>0</v>
      </c>
      <c r="U32" s="20" t="s">
        <v>50</v>
      </c>
      <c r="V32" s="15" t="s">
        <v>271</v>
      </c>
    </row>
    <row r="33" customFormat="false" ht="35.05" hidden="false" customHeight="false" outlineLevel="0" collapsed="false">
      <c r="A33" s="14" t="s">
        <v>272</v>
      </c>
      <c r="B33" s="15" t="s">
        <v>36</v>
      </c>
      <c r="C33" s="15" t="s">
        <v>273</v>
      </c>
      <c r="D33" s="15" t="s">
        <v>274</v>
      </c>
      <c r="E33" s="15" t="s">
        <v>83</v>
      </c>
      <c r="F33" s="14" t="n">
        <f aca="false">IF(E33="ALL",3,IF(E33="Global",1,LEN(E33)-LEN(SUBSTITUTE(E33,",",""))+1))</f>
        <v>3</v>
      </c>
      <c r="G33" s="16" t="n">
        <v>2</v>
      </c>
      <c r="H33" s="14" t="n">
        <f aca="false">F33*G33</f>
        <v>6</v>
      </c>
      <c r="I33" s="15" t="s">
        <v>275</v>
      </c>
      <c r="J33" s="15" t="s">
        <v>276</v>
      </c>
      <c r="K33" s="15" t="s">
        <v>96</v>
      </c>
      <c r="L33" s="15" t="s">
        <v>162</v>
      </c>
      <c r="M33" s="15" t="s">
        <v>141</v>
      </c>
      <c r="N33" s="15" t="s">
        <v>258</v>
      </c>
      <c r="O33" s="15" t="s">
        <v>143</v>
      </c>
      <c r="P33" s="17" t="n">
        <v>0</v>
      </c>
      <c r="Q33" s="17" t="n">
        <v>0</v>
      </c>
      <c r="R33" s="17" t="n">
        <v>1</v>
      </c>
      <c r="S33" s="17" t="n">
        <v>0</v>
      </c>
      <c r="T33" s="17" t="n">
        <v>0</v>
      </c>
      <c r="U33" s="19" t="s">
        <v>49</v>
      </c>
      <c r="V33" s="15"/>
    </row>
    <row r="34" customFormat="false" ht="35.05" hidden="false" customHeight="false" outlineLevel="0" collapsed="false">
      <c r="A34" s="14" t="s">
        <v>277</v>
      </c>
      <c r="B34" s="15" t="s">
        <v>36</v>
      </c>
      <c r="C34" s="15" t="s">
        <v>278</v>
      </c>
      <c r="D34" s="15" t="s">
        <v>279</v>
      </c>
      <c r="E34" s="15" t="s">
        <v>83</v>
      </c>
      <c r="F34" s="14" t="n">
        <f aca="false">IF(E34="ALL",3,IF(E34="Global",1,LEN(E34)-LEN(SUBSTITUTE(E34,",",""))+1))</f>
        <v>3</v>
      </c>
      <c r="G34" s="16" t="n">
        <v>1</v>
      </c>
      <c r="H34" s="14" t="n">
        <f aca="false">F34*G34</f>
        <v>3</v>
      </c>
      <c r="I34" s="15" t="s">
        <v>280</v>
      </c>
      <c r="J34" s="15" t="s">
        <v>198</v>
      </c>
      <c r="K34" s="15" t="s">
        <v>96</v>
      </c>
      <c r="L34" s="15" t="s">
        <v>281</v>
      </c>
      <c r="M34" s="15" t="s">
        <v>141</v>
      </c>
      <c r="N34" s="15" t="s">
        <v>258</v>
      </c>
      <c r="O34" s="15" t="s">
        <v>143</v>
      </c>
      <c r="P34" s="17" t="n">
        <v>0</v>
      </c>
      <c r="Q34" s="17" t="n">
        <v>1</v>
      </c>
      <c r="R34" s="17" t="n">
        <v>1</v>
      </c>
      <c r="S34" s="17" t="n">
        <v>0</v>
      </c>
      <c r="T34" s="17" t="n">
        <v>0</v>
      </c>
      <c r="U34" s="20" t="s">
        <v>50</v>
      </c>
      <c r="V34" s="15"/>
    </row>
    <row r="35" customFormat="false" ht="35.05" hidden="false" customHeight="false" outlineLevel="0" collapsed="false">
      <c r="A35" s="14" t="s">
        <v>282</v>
      </c>
      <c r="B35" s="15" t="s">
        <v>36</v>
      </c>
      <c r="C35" s="15" t="s">
        <v>283</v>
      </c>
      <c r="D35" s="15" t="s">
        <v>284</v>
      </c>
      <c r="E35" s="15" t="s">
        <v>83</v>
      </c>
      <c r="F35" s="14" t="n">
        <f aca="false">IF(E35="ALL",3,IF(E35="Global",1,LEN(E35)-LEN(SUBSTITUTE(E35,",",""))+1))</f>
        <v>3</v>
      </c>
      <c r="G35" s="16" t="n">
        <v>2</v>
      </c>
      <c r="H35" s="14" t="n">
        <f aca="false">F35*G35</f>
        <v>6</v>
      </c>
      <c r="I35" s="15" t="s">
        <v>285</v>
      </c>
      <c r="J35" s="15" t="s">
        <v>248</v>
      </c>
      <c r="K35" s="15" t="s">
        <v>96</v>
      </c>
      <c r="L35" s="15" t="s">
        <v>286</v>
      </c>
      <c r="M35" s="15" t="s">
        <v>141</v>
      </c>
      <c r="N35" s="15" t="s">
        <v>258</v>
      </c>
      <c r="O35" s="15" t="s">
        <v>143</v>
      </c>
      <c r="P35" s="17" t="n">
        <v>0</v>
      </c>
      <c r="Q35" s="17" t="n">
        <v>0</v>
      </c>
      <c r="R35" s="17" t="n">
        <v>1</v>
      </c>
      <c r="S35" s="17" t="n">
        <v>0</v>
      </c>
      <c r="T35" s="17" t="n">
        <v>0</v>
      </c>
      <c r="U35" s="20" t="s">
        <v>50</v>
      </c>
      <c r="V35" s="15" t="s">
        <v>287</v>
      </c>
    </row>
    <row r="36" customFormat="false" ht="35.05" hidden="false" customHeight="false" outlineLevel="0" collapsed="false">
      <c r="A36" s="14" t="s">
        <v>288</v>
      </c>
      <c r="B36" s="15" t="s">
        <v>37</v>
      </c>
      <c r="C36" s="15" t="s">
        <v>289</v>
      </c>
      <c r="D36" s="15" t="s">
        <v>290</v>
      </c>
      <c r="E36" s="15" t="s">
        <v>262</v>
      </c>
      <c r="F36" s="14" t="n">
        <f aca="false">IF(E36="ALL",3,IF(E36="Global",1,LEN(E36)-LEN(SUBSTITUTE(E36,",",""))+1))</f>
        <v>1</v>
      </c>
      <c r="G36" s="16" t="n">
        <v>3</v>
      </c>
      <c r="H36" s="14" t="n">
        <f aca="false">F36*G36</f>
        <v>3</v>
      </c>
      <c r="I36" s="15" t="s">
        <v>291</v>
      </c>
      <c r="J36" s="15" t="s">
        <v>96</v>
      </c>
      <c r="K36" s="15" t="s">
        <v>96</v>
      </c>
      <c r="L36" s="15" t="s">
        <v>292</v>
      </c>
      <c r="M36" s="15" t="s">
        <v>293</v>
      </c>
      <c r="N36" s="15" t="s">
        <v>294</v>
      </c>
      <c r="O36" s="15" t="s">
        <v>143</v>
      </c>
      <c r="P36" s="17" t="n">
        <v>0</v>
      </c>
      <c r="Q36" s="17" t="n">
        <v>1</v>
      </c>
      <c r="R36" s="17" t="n">
        <v>1</v>
      </c>
      <c r="S36" s="17" t="n">
        <v>1</v>
      </c>
      <c r="T36" s="17" t="n">
        <v>0</v>
      </c>
      <c r="U36" s="18" t="s">
        <v>48</v>
      </c>
      <c r="V36" s="15" t="s">
        <v>295</v>
      </c>
    </row>
    <row r="37" customFormat="false" ht="35.05" hidden="false" customHeight="false" outlineLevel="0" collapsed="false">
      <c r="A37" s="14" t="s">
        <v>296</v>
      </c>
      <c r="B37" s="15" t="s">
        <v>37</v>
      </c>
      <c r="C37" s="15" t="s">
        <v>297</v>
      </c>
      <c r="D37" s="15" t="s">
        <v>298</v>
      </c>
      <c r="E37" s="15" t="s">
        <v>262</v>
      </c>
      <c r="F37" s="14" t="n">
        <f aca="false">IF(E37="ALL",3,IF(E37="Global",1,LEN(E37)-LEN(SUBSTITUTE(E37,",",""))+1))</f>
        <v>1</v>
      </c>
      <c r="G37" s="16" t="n">
        <v>3</v>
      </c>
      <c r="H37" s="14" t="n">
        <f aca="false">F37*G37</f>
        <v>3</v>
      </c>
      <c r="I37" s="15" t="s">
        <v>291</v>
      </c>
      <c r="J37" s="15" t="s">
        <v>96</v>
      </c>
      <c r="K37" s="15" t="s">
        <v>96</v>
      </c>
      <c r="L37" s="15" t="s">
        <v>299</v>
      </c>
      <c r="M37" s="15" t="s">
        <v>300</v>
      </c>
      <c r="N37" s="15" t="s">
        <v>301</v>
      </c>
      <c r="O37" s="15" t="s">
        <v>143</v>
      </c>
      <c r="P37" s="17" t="n">
        <v>0</v>
      </c>
      <c r="Q37" s="17" t="n">
        <v>1</v>
      </c>
      <c r="R37" s="17" t="n">
        <v>1</v>
      </c>
      <c r="S37" s="17" t="n">
        <v>1</v>
      </c>
      <c r="T37" s="17" t="n">
        <v>0</v>
      </c>
      <c r="U37" s="18" t="s">
        <v>48</v>
      </c>
      <c r="V37" s="15" t="s">
        <v>302</v>
      </c>
    </row>
    <row r="38" customFormat="false" ht="23.85" hidden="false" customHeight="false" outlineLevel="0" collapsed="false">
      <c r="A38" s="14" t="s">
        <v>303</v>
      </c>
      <c r="B38" s="15" t="s">
        <v>37</v>
      </c>
      <c r="C38" s="15" t="s">
        <v>304</v>
      </c>
      <c r="D38" s="15" t="s">
        <v>305</v>
      </c>
      <c r="E38" s="15" t="s">
        <v>262</v>
      </c>
      <c r="F38" s="14" t="n">
        <f aca="false">IF(E38="ALL",3,IF(E38="Global",1,LEN(E38)-LEN(SUBSTITUTE(E38,",",""))+1))</f>
        <v>1</v>
      </c>
      <c r="G38" s="16" t="n">
        <v>1</v>
      </c>
      <c r="H38" s="14" t="n">
        <f aca="false">F38*G38</f>
        <v>1</v>
      </c>
      <c r="I38" s="15" t="s">
        <v>306</v>
      </c>
      <c r="J38" s="15" t="s">
        <v>96</v>
      </c>
      <c r="K38" s="15" t="s">
        <v>96</v>
      </c>
      <c r="L38" s="15"/>
      <c r="M38" s="15" t="s">
        <v>307</v>
      </c>
      <c r="N38" s="15" t="s">
        <v>308</v>
      </c>
      <c r="O38" s="15" t="s">
        <v>100</v>
      </c>
      <c r="P38" s="17" t="n">
        <v>0</v>
      </c>
      <c r="Q38" s="17" t="n">
        <v>1</v>
      </c>
      <c r="R38" s="17" t="n">
        <v>1</v>
      </c>
      <c r="S38" s="17" t="n">
        <v>0</v>
      </c>
      <c r="T38" s="17" t="n">
        <v>0</v>
      </c>
      <c r="U38" s="19" t="s">
        <v>49</v>
      </c>
      <c r="V38" s="15" t="s">
        <v>309</v>
      </c>
    </row>
    <row r="39" customFormat="false" ht="35.05" hidden="false" customHeight="false" outlineLevel="0" collapsed="false">
      <c r="A39" s="14" t="s">
        <v>310</v>
      </c>
      <c r="B39" s="15" t="s">
        <v>37</v>
      </c>
      <c r="C39" s="15" t="s">
        <v>311</v>
      </c>
      <c r="D39" s="15" t="s">
        <v>312</v>
      </c>
      <c r="E39" s="15" t="s">
        <v>237</v>
      </c>
      <c r="F39" s="14" t="n">
        <f aca="false">IF(E39="ALL",3,IF(E39="Global",1,LEN(E39)-LEN(SUBSTITUTE(E39,",",""))+1))</f>
        <v>1</v>
      </c>
      <c r="G39" s="16" t="n">
        <v>2</v>
      </c>
      <c r="H39" s="14" t="n">
        <f aca="false">F39*G39</f>
        <v>2</v>
      </c>
      <c r="I39" s="15" t="s">
        <v>313</v>
      </c>
      <c r="J39" s="15" t="s">
        <v>314</v>
      </c>
      <c r="K39" s="15" t="s">
        <v>96</v>
      </c>
      <c r="L39" s="15" t="s">
        <v>315</v>
      </c>
      <c r="M39" s="15" t="s">
        <v>300</v>
      </c>
      <c r="N39" s="15" t="s">
        <v>316</v>
      </c>
      <c r="O39" s="15" t="s">
        <v>143</v>
      </c>
      <c r="P39" s="17" t="n">
        <v>0</v>
      </c>
      <c r="Q39" s="17" t="n">
        <v>1</v>
      </c>
      <c r="R39" s="17" t="n">
        <v>1</v>
      </c>
      <c r="S39" s="17" t="n">
        <v>1</v>
      </c>
      <c r="T39" s="17" t="n">
        <v>0</v>
      </c>
      <c r="U39" s="18" t="s">
        <v>48</v>
      </c>
      <c r="V39" s="15" t="s">
        <v>317</v>
      </c>
    </row>
    <row r="40" customFormat="false" ht="35.05" hidden="false" customHeight="false" outlineLevel="0" collapsed="false">
      <c r="A40" s="14" t="s">
        <v>318</v>
      </c>
      <c r="B40" s="15" t="s">
        <v>37</v>
      </c>
      <c r="C40" s="15" t="s">
        <v>319</v>
      </c>
      <c r="D40" s="15" t="s">
        <v>320</v>
      </c>
      <c r="E40" s="15" t="s">
        <v>246</v>
      </c>
      <c r="F40" s="14" t="n">
        <f aca="false">IF(E40="ALL",3,IF(E40="Global",1,LEN(E40)-LEN(SUBSTITUTE(E40,",",""))+1))</f>
        <v>1</v>
      </c>
      <c r="G40" s="16" t="n">
        <v>2</v>
      </c>
      <c r="H40" s="14" t="n">
        <f aca="false">F40*G40</f>
        <v>2</v>
      </c>
      <c r="I40" s="15" t="s">
        <v>321</v>
      </c>
      <c r="J40" s="15" t="s">
        <v>322</v>
      </c>
      <c r="K40" s="15" t="s">
        <v>96</v>
      </c>
      <c r="L40" s="15" t="s">
        <v>323</v>
      </c>
      <c r="M40" s="15" t="s">
        <v>300</v>
      </c>
      <c r="N40" s="15" t="s">
        <v>324</v>
      </c>
      <c r="O40" s="15" t="s">
        <v>143</v>
      </c>
      <c r="P40" s="17" t="n">
        <v>0</v>
      </c>
      <c r="Q40" s="17" t="n">
        <v>1</v>
      </c>
      <c r="R40" s="17" t="n">
        <v>1</v>
      </c>
      <c r="S40" s="17" t="n">
        <v>0</v>
      </c>
      <c r="T40" s="17" t="n">
        <v>0</v>
      </c>
      <c r="U40" s="19" t="s">
        <v>49</v>
      </c>
      <c r="V40" s="15"/>
    </row>
    <row r="41" customFormat="false" ht="23.85" hidden="false" customHeight="false" outlineLevel="0" collapsed="false">
      <c r="A41" s="14" t="s">
        <v>325</v>
      </c>
      <c r="B41" s="15" t="s">
        <v>37</v>
      </c>
      <c r="C41" s="15" t="s">
        <v>326</v>
      </c>
      <c r="D41" s="15" t="s">
        <v>327</v>
      </c>
      <c r="E41" s="15" t="s">
        <v>83</v>
      </c>
      <c r="F41" s="14" t="n">
        <f aca="false">IF(E41="ALL",3,IF(E41="Global",1,LEN(E41)-LEN(SUBSTITUTE(E41,",",""))+1))</f>
        <v>3</v>
      </c>
      <c r="G41" s="16" t="n">
        <v>1</v>
      </c>
      <c r="H41" s="14" t="n">
        <f aca="false">F41*G41</f>
        <v>3</v>
      </c>
      <c r="I41" s="15" t="s">
        <v>328</v>
      </c>
      <c r="J41" s="15" t="s">
        <v>329</v>
      </c>
      <c r="K41" s="15" t="s">
        <v>96</v>
      </c>
      <c r="L41" s="15"/>
      <c r="M41" s="15" t="s">
        <v>330</v>
      </c>
      <c r="N41" s="15" t="s">
        <v>331</v>
      </c>
      <c r="O41" s="15" t="s">
        <v>332</v>
      </c>
      <c r="P41" s="17" t="n">
        <v>0</v>
      </c>
      <c r="Q41" s="17" t="n">
        <v>1</v>
      </c>
      <c r="R41" s="17" t="n">
        <v>1</v>
      </c>
      <c r="S41" s="17" t="n">
        <v>0</v>
      </c>
      <c r="T41" s="17" t="n">
        <v>0</v>
      </c>
      <c r="U41" s="18" t="s">
        <v>48</v>
      </c>
      <c r="V41" s="15"/>
    </row>
    <row r="42" customFormat="false" ht="35.05" hidden="false" customHeight="false" outlineLevel="0" collapsed="false">
      <c r="A42" s="14" t="s">
        <v>333</v>
      </c>
      <c r="B42" s="15" t="s">
        <v>37</v>
      </c>
      <c r="C42" s="15" t="s">
        <v>334</v>
      </c>
      <c r="D42" s="15" t="s">
        <v>335</v>
      </c>
      <c r="E42" s="15" t="s">
        <v>83</v>
      </c>
      <c r="F42" s="14" t="n">
        <f aca="false">IF(E42="ALL",3,IF(E42="Global",1,LEN(E42)-LEN(SUBSTITUTE(E42,",",""))+1))</f>
        <v>3</v>
      </c>
      <c r="G42" s="16" t="n">
        <v>1</v>
      </c>
      <c r="H42" s="14" t="n">
        <f aca="false">F42*G42</f>
        <v>3</v>
      </c>
      <c r="I42" s="15" t="s">
        <v>95</v>
      </c>
      <c r="J42" s="15" t="s">
        <v>322</v>
      </c>
      <c r="K42" s="15" t="s">
        <v>96</v>
      </c>
      <c r="L42" s="15" t="s">
        <v>336</v>
      </c>
      <c r="M42" s="15" t="s">
        <v>337</v>
      </c>
      <c r="N42" s="15" t="s">
        <v>338</v>
      </c>
      <c r="O42" s="15" t="s">
        <v>143</v>
      </c>
      <c r="P42" s="17" t="n">
        <v>0</v>
      </c>
      <c r="Q42" s="17" t="n">
        <v>1</v>
      </c>
      <c r="R42" s="17" t="n">
        <v>1</v>
      </c>
      <c r="S42" s="17" t="n">
        <v>0</v>
      </c>
      <c r="T42" s="17" t="n">
        <v>0</v>
      </c>
      <c r="U42" s="18" t="s">
        <v>48</v>
      </c>
      <c r="V42" s="15"/>
    </row>
    <row r="43" customFormat="false" ht="35.05" hidden="false" customHeight="false" outlineLevel="0" collapsed="false">
      <c r="A43" s="14" t="s">
        <v>339</v>
      </c>
      <c r="B43" s="15" t="s">
        <v>37</v>
      </c>
      <c r="C43" s="15" t="s">
        <v>340</v>
      </c>
      <c r="D43" s="15" t="s">
        <v>341</v>
      </c>
      <c r="E43" s="15" t="s">
        <v>83</v>
      </c>
      <c r="F43" s="14" t="n">
        <f aca="false">IF(E43="ALL",3,IF(E43="Global",1,LEN(E43)-LEN(SUBSTITUTE(E43,",",""))+1))</f>
        <v>3</v>
      </c>
      <c r="G43" s="16" t="n">
        <v>1</v>
      </c>
      <c r="H43" s="14" t="n">
        <f aca="false">F43*G43</f>
        <v>3</v>
      </c>
      <c r="I43" s="15" t="s">
        <v>342</v>
      </c>
      <c r="J43" s="15" t="s">
        <v>211</v>
      </c>
      <c r="K43" s="15" t="s">
        <v>96</v>
      </c>
      <c r="L43" s="15"/>
      <c r="M43" s="15" t="s">
        <v>141</v>
      </c>
      <c r="N43" s="15" t="s">
        <v>258</v>
      </c>
      <c r="O43" s="15" t="s">
        <v>143</v>
      </c>
      <c r="P43" s="17" t="n">
        <v>0</v>
      </c>
      <c r="Q43" s="17" t="n">
        <v>0</v>
      </c>
      <c r="R43" s="17" t="n">
        <v>1</v>
      </c>
      <c r="S43" s="17" t="n">
        <v>0</v>
      </c>
      <c r="T43" s="17" t="n">
        <v>0</v>
      </c>
      <c r="U43" s="20" t="s">
        <v>50</v>
      </c>
      <c r="V43" s="15" t="s">
        <v>343</v>
      </c>
    </row>
    <row r="44" customFormat="false" ht="35.05" hidden="false" customHeight="false" outlineLevel="0" collapsed="false">
      <c r="A44" s="14" t="s">
        <v>344</v>
      </c>
      <c r="B44" s="15" t="s">
        <v>38</v>
      </c>
      <c r="C44" s="15" t="s">
        <v>345</v>
      </c>
      <c r="D44" s="15" t="s">
        <v>346</v>
      </c>
      <c r="E44" s="15" t="s">
        <v>83</v>
      </c>
      <c r="F44" s="14" t="n">
        <f aca="false">IF(E44="ALL",3,IF(E44="Global",1,LEN(E44)-LEN(SUBSTITUTE(E44,",",""))+1))</f>
        <v>3</v>
      </c>
      <c r="G44" s="16" t="n">
        <v>3</v>
      </c>
      <c r="H44" s="14" t="n">
        <f aca="false">F44*G44</f>
        <v>9</v>
      </c>
      <c r="I44" s="15" t="s">
        <v>347</v>
      </c>
      <c r="J44" s="15" t="s">
        <v>322</v>
      </c>
      <c r="K44" s="15" t="s">
        <v>96</v>
      </c>
      <c r="L44" s="15" t="s">
        <v>348</v>
      </c>
      <c r="M44" s="15" t="s">
        <v>349</v>
      </c>
      <c r="N44" s="15" t="s">
        <v>350</v>
      </c>
      <c r="O44" s="15" t="s">
        <v>143</v>
      </c>
      <c r="P44" s="17" t="n">
        <v>0</v>
      </c>
      <c r="Q44" s="17" t="n">
        <v>1</v>
      </c>
      <c r="R44" s="17" t="n">
        <v>1</v>
      </c>
      <c r="S44" s="17" t="n">
        <v>0</v>
      </c>
      <c r="T44" s="17" t="n">
        <v>0</v>
      </c>
      <c r="U44" s="18" t="s">
        <v>48</v>
      </c>
      <c r="V44" s="15"/>
    </row>
    <row r="45" customFormat="false" ht="35.05" hidden="false" customHeight="false" outlineLevel="0" collapsed="false">
      <c r="A45" s="14" t="s">
        <v>351</v>
      </c>
      <c r="B45" s="15" t="s">
        <v>38</v>
      </c>
      <c r="C45" s="15" t="s">
        <v>352</v>
      </c>
      <c r="D45" s="15" t="s">
        <v>353</v>
      </c>
      <c r="E45" s="15" t="s">
        <v>354</v>
      </c>
      <c r="F45" s="14" t="n">
        <f aca="false">IF(E45="ALL",3,IF(E45="Global",1,LEN(E45)-LEN(SUBSTITUTE(E45,",",""))+1))</f>
        <v>1</v>
      </c>
      <c r="G45" s="16" t="n">
        <v>3</v>
      </c>
      <c r="H45" s="14" t="n">
        <f aca="false">F45*G45</f>
        <v>3</v>
      </c>
      <c r="I45" s="15" t="s">
        <v>355</v>
      </c>
      <c r="J45" s="15" t="s">
        <v>322</v>
      </c>
      <c r="K45" s="15" t="s">
        <v>86</v>
      </c>
      <c r="L45" s="15" t="s">
        <v>356</v>
      </c>
      <c r="M45" s="15" t="s">
        <v>119</v>
      </c>
      <c r="N45" s="15" t="s">
        <v>350</v>
      </c>
      <c r="O45" s="15" t="s">
        <v>143</v>
      </c>
      <c r="P45" s="17" t="n">
        <v>0</v>
      </c>
      <c r="Q45" s="17" t="n">
        <v>1</v>
      </c>
      <c r="R45" s="17" t="n">
        <v>1</v>
      </c>
      <c r="S45" s="17" t="n">
        <v>0</v>
      </c>
      <c r="T45" s="17" t="n">
        <v>0</v>
      </c>
      <c r="U45" s="18" t="s">
        <v>48</v>
      </c>
      <c r="V45" s="15"/>
    </row>
    <row r="46" customFormat="false" ht="35.05" hidden="false" customHeight="false" outlineLevel="0" collapsed="false">
      <c r="A46" s="14" t="s">
        <v>357</v>
      </c>
      <c r="B46" s="15" t="s">
        <v>38</v>
      </c>
      <c r="C46" s="15" t="s">
        <v>358</v>
      </c>
      <c r="D46" s="15" t="s">
        <v>359</v>
      </c>
      <c r="E46" s="15" t="s">
        <v>354</v>
      </c>
      <c r="F46" s="14" t="n">
        <f aca="false">IF(E46="ALL",3,IF(E46="Global",1,LEN(E46)-LEN(SUBSTITUTE(E46,",",""))+1))</f>
        <v>1</v>
      </c>
      <c r="G46" s="16" t="n">
        <v>2</v>
      </c>
      <c r="H46" s="14" t="n">
        <f aca="false">F46*G46</f>
        <v>2</v>
      </c>
      <c r="I46" s="15" t="s">
        <v>355</v>
      </c>
      <c r="J46" s="15" t="s">
        <v>322</v>
      </c>
      <c r="K46" s="15" t="s">
        <v>96</v>
      </c>
      <c r="L46" s="15" t="s">
        <v>356</v>
      </c>
      <c r="M46" s="15" t="s">
        <v>119</v>
      </c>
      <c r="N46" s="15" t="s">
        <v>350</v>
      </c>
      <c r="O46" s="15" t="s">
        <v>143</v>
      </c>
      <c r="P46" s="17" t="n">
        <v>0</v>
      </c>
      <c r="Q46" s="17" t="n">
        <v>1</v>
      </c>
      <c r="R46" s="17" t="n">
        <v>1</v>
      </c>
      <c r="S46" s="17" t="n">
        <v>0</v>
      </c>
      <c r="T46" s="17" t="n">
        <v>0</v>
      </c>
      <c r="U46" s="19" t="s">
        <v>49</v>
      </c>
      <c r="V46" s="15" t="s">
        <v>360</v>
      </c>
    </row>
    <row r="47" customFormat="false" ht="23.85" hidden="false" customHeight="false" outlineLevel="0" collapsed="false">
      <c r="A47" s="14" t="s">
        <v>361</v>
      </c>
      <c r="B47" s="15" t="s">
        <v>38</v>
      </c>
      <c r="C47" s="15" t="s">
        <v>362</v>
      </c>
      <c r="D47" s="15" t="s">
        <v>363</v>
      </c>
      <c r="E47" s="15" t="s">
        <v>83</v>
      </c>
      <c r="F47" s="14" t="n">
        <f aca="false">IF(E47="ALL",3,IF(E47="Global",1,LEN(E47)-LEN(SUBSTITUTE(E47,",",""))+1))</f>
        <v>3</v>
      </c>
      <c r="G47" s="16" t="n">
        <v>2</v>
      </c>
      <c r="H47" s="14" t="n">
        <f aca="false">F47*G47</f>
        <v>6</v>
      </c>
      <c r="I47" s="15" t="s">
        <v>364</v>
      </c>
      <c r="J47" s="15" t="s">
        <v>96</v>
      </c>
      <c r="K47" s="15" t="s">
        <v>96</v>
      </c>
      <c r="L47" s="15" t="s">
        <v>365</v>
      </c>
      <c r="M47" s="15" t="s">
        <v>119</v>
      </c>
      <c r="N47" s="15" t="s">
        <v>177</v>
      </c>
      <c r="O47" s="15" t="s">
        <v>100</v>
      </c>
      <c r="P47" s="17" t="n">
        <v>0</v>
      </c>
      <c r="Q47" s="17" t="n">
        <v>1</v>
      </c>
      <c r="R47" s="17" t="n">
        <v>1</v>
      </c>
      <c r="S47" s="17" t="n">
        <v>0</v>
      </c>
      <c r="T47" s="17" t="n">
        <v>0</v>
      </c>
      <c r="U47" s="18" t="s">
        <v>48</v>
      </c>
      <c r="V47" s="15" t="s">
        <v>366</v>
      </c>
    </row>
    <row r="48" customFormat="false" ht="35.05" hidden="false" customHeight="false" outlineLevel="0" collapsed="false">
      <c r="A48" s="14" t="s">
        <v>367</v>
      </c>
      <c r="B48" s="15" t="s">
        <v>38</v>
      </c>
      <c r="C48" s="15" t="s">
        <v>368</v>
      </c>
      <c r="D48" s="15" t="s">
        <v>369</v>
      </c>
      <c r="E48" s="15" t="s">
        <v>83</v>
      </c>
      <c r="F48" s="14" t="n">
        <f aca="false">IF(E48="ALL",3,IF(E48="Global",1,LEN(E48)-LEN(SUBSTITUTE(E48,",",""))+1))</f>
        <v>3</v>
      </c>
      <c r="G48" s="16" t="n">
        <v>2</v>
      </c>
      <c r="H48" s="14" t="n">
        <f aca="false">F48*G48</f>
        <v>6</v>
      </c>
      <c r="I48" s="15" t="s">
        <v>370</v>
      </c>
      <c r="J48" s="15" t="s">
        <v>371</v>
      </c>
      <c r="K48" s="15" t="s">
        <v>96</v>
      </c>
      <c r="L48" s="15" t="s">
        <v>372</v>
      </c>
      <c r="M48" s="15" t="s">
        <v>373</v>
      </c>
      <c r="N48" s="15" t="s">
        <v>258</v>
      </c>
      <c r="O48" s="15" t="s">
        <v>143</v>
      </c>
      <c r="P48" s="17" t="n">
        <v>0</v>
      </c>
      <c r="Q48" s="17" t="n">
        <v>1</v>
      </c>
      <c r="R48" s="17" t="n">
        <v>1</v>
      </c>
      <c r="S48" s="17" t="n">
        <v>0</v>
      </c>
      <c r="T48" s="17" t="n">
        <v>0</v>
      </c>
      <c r="U48" s="18" t="s">
        <v>48</v>
      </c>
      <c r="V48" s="15" t="s">
        <v>374</v>
      </c>
    </row>
    <row r="49" customFormat="false" ht="23.85" hidden="false" customHeight="false" outlineLevel="0" collapsed="false">
      <c r="A49" s="14" t="s">
        <v>375</v>
      </c>
      <c r="B49" s="15" t="s">
        <v>39</v>
      </c>
      <c r="C49" s="15" t="s">
        <v>376</v>
      </c>
      <c r="D49" s="15" t="s">
        <v>377</v>
      </c>
      <c r="E49" s="15" t="s">
        <v>354</v>
      </c>
      <c r="F49" s="14" t="n">
        <f aca="false">IF(E49="ALL",3,IF(E49="Global",1,LEN(E49)-LEN(SUBSTITUTE(E49,",",""))+1))</f>
        <v>1</v>
      </c>
      <c r="G49" s="16" t="n">
        <v>10</v>
      </c>
      <c r="H49" s="14" t="n">
        <f aca="false">F49*G49</f>
        <v>10</v>
      </c>
      <c r="I49" s="15" t="s">
        <v>378</v>
      </c>
      <c r="J49" s="15" t="s">
        <v>379</v>
      </c>
      <c r="K49" s="15" t="s">
        <v>86</v>
      </c>
      <c r="L49" s="15" t="s">
        <v>380</v>
      </c>
      <c r="M49" s="15" t="s">
        <v>119</v>
      </c>
      <c r="N49" s="15" t="s">
        <v>381</v>
      </c>
      <c r="O49" s="15" t="s">
        <v>100</v>
      </c>
      <c r="P49" s="17" t="n">
        <v>1</v>
      </c>
      <c r="Q49" s="17" t="n">
        <v>1</v>
      </c>
      <c r="R49" s="17" t="n">
        <v>1</v>
      </c>
      <c r="S49" s="17" t="n">
        <v>0</v>
      </c>
      <c r="T49" s="17" t="n">
        <v>0</v>
      </c>
      <c r="U49" s="18" t="s">
        <v>48</v>
      </c>
      <c r="V49" s="15"/>
    </row>
    <row r="50" customFormat="false" ht="35.05" hidden="false" customHeight="false" outlineLevel="0" collapsed="false">
      <c r="A50" s="14" t="s">
        <v>382</v>
      </c>
      <c r="B50" s="15" t="s">
        <v>39</v>
      </c>
      <c r="C50" s="15" t="s">
        <v>383</v>
      </c>
      <c r="D50" s="15" t="s">
        <v>384</v>
      </c>
      <c r="E50" s="15" t="s">
        <v>83</v>
      </c>
      <c r="F50" s="14" t="n">
        <f aca="false">IF(E50="ALL",3,IF(E50="Global",1,LEN(E50)-LEN(SUBSTITUTE(E50,",",""))+1))</f>
        <v>3</v>
      </c>
      <c r="G50" s="16" t="n">
        <v>2</v>
      </c>
      <c r="H50" s="14" t="n">
        <f aca="false">F50*G50</f>
        <v>6</v>
      </c>
      <c r="I50" s="15" t="s">
        <v>95</v>
      </c>
      <c r="J50" s="15" t="s">
        <v>96</v>
      </c>
      <c r="K50" s="15" t="s">
        <v>96</v>
      </c>
      <c r="L50" s="15" t="s">
        <v>385</v>
      </c>
      <c r="M50" s="15" t="s">
        <v>141</v>
      </c>
      <c r="N50" s="15" t="s">
        <v>99</v>
      </c>
      <c r="O50" s="15" t="s">
        <v>100</v>
      </c>
      <c r="P50" s="17" t="n">
        <v>0</v>
      </c>
      <c r="Q50" s="17" t="n">
        <v>1</v>
      </c>
      <c r="R50" s="17" t="n">
        <v>1</v>
      </c>
      <c r="S50" s="17" t="n">
        <v>0</v>
      </c>
      <c r="T50" s="17" t="n">
        <v>0</v>
      </c>
      <c r="U50" s="18" t="s">
        <v>48</v>
      </c>
      <c r="V50" s="15" t="s">
        <v>386</v>
      </c>
    </row>
    <row r="51" customFormat="false" ht="23.85" hidden="false" customHeight="false" outlineLevel="0" collapsed="false">
      <c r="A51" s="14" t="s">
        <v>387</v>
      </c>
      <c r="B51" s="15" t="s">
        <v>39</v>
      </c>
      <c r="C51" s="15" t="s">
        <v>388</v>
      </c>
      <c r="D51" s="15" t="s">
        <v>389</v>
      </c>
      <c r="E51" s="15" t="s">
        <v>83</v>
      </c>
      <c r="F51" s="14" t="n">
        <f aca="false">IF(E51="ALL",3,IF(E51="Global",1,LEN(E51)-LEN(SUBSTITUTE(E51,",",""))+1))</f>
        <v>3</v>
      </c>
      <c r="G51" s="16" t="n">
        <v>1</v>
      </c>
      <c r="H51" s="14" t="n">
        <f aca="false">F51*G51</f>
        <v>3</v>
      </c>
      <c r="I51" s="15" t="s">
        <v>95</v>
      </c>
      <c r="J51" s="15" t="s">
        <v>96</v>
      </c>
      <c r="K51" s="15" t="s">
        <v>96</v>
      </c>
      <c r="L51" s="15" t="s">
        <v>390</v>
      </c>
      <c r="M51" s="15" t="s">
        <v>119</v>
      </c>
      <c r="N51" s="15" t="s">
        <v>99</v>
      </c>
      <c r="O51" s="15" t="s">
        <v>100</v>
      </c>
      <c r="P51" s="17" t="n">
        <v>0</v>
      </c>
      <c r="Q51" s="17" t="n">
        <v>0</v>
      </c>
      <c r="R51" s="17" t="n">
        <v>1</v>
      </c>
      <c r="S51" s="17" t="n">
        <v>0</v>
      </c>
      <c r="T51" s="17" t="n">
        <v>0</v>
      </c>
      <c r="U51" s="19" t="s">
        <v>49</v>
      </c>
      <c r="V51" s="15"/>
    </row>
    <row r="52" customFormat="false" ht="35.05" hidden="false" customHeight="false" outlineLevel="0" collapsed="false">
      <c r="A52" s="14" t="s">
        <v>391</v>
      </c>
      <c r="B52" s="15" t="s">
        <v>39</v>
      </c>
      <c r="C52" s="15" t="s">
        <v>392</v>
      </c>
      <c r="D52" s="15" t="s">
        <v>393</v>
      </c>
      <c r="E52" s="15" t="s">
        <v>354</v>
      </c>
      <c r="F52" s="14" t="n">
        <f aca="false">IF(E52="ALL",3,IF(E52="Global",1,LEN(E52)-LEN(SUBSTITUTE(E52,",",""))+1))</f>
        <v>1</v>
      </c>
      <c r="G52" s="16" t="n">
        <v>2</v>
      </c>
      <c r="H52" s="14" t="n">
        <f aca="false">F52*G52</f>
        <v>2</v>
      </c>
      <c r="I52" s="15" t="s">
        <v>394</v>
      </c>
      <c r="J52" s="15" t="s">
        <v>395</v>
      </c>
      <c r="K52" s="15" t="s">
        <v>96</v>
      </c>
      <c r="L52" s="15" t="s">
        <v>182</v>
      </c>
      <c r="M52" s="15" t="s">
        <v>141</v>
      </c>
      <c r="N52" s="15" t="s">
        <v>396</v>
      </c>
      <c r="O52" s="15" t="s">
        <v>143</v>
      </c>
      <c r="P52" s="17" t="n">
        <v>0</v>
      </c>
      <c r="Q52" s="17" t="n">
        <v>0</v>
      </c>
      <c r="R52" s="17" t="n">
        <v>1</v>
      </c>
      <c r="S52" s="17" t="n">
        <v>0</v>
      </c>
      <c r="T52" s="17" t="n">
        <v>0</v>
      </c>
      <c r="U52" s="20" t="s">
        <v>50</v>
      </c>
      <c r="V52" s="15" t="s">
        <v>397</v>
      </c>
    </row>
    <row r="53" customFormat="false" ht="23.85" hidden="false" customHeight="false" outlineLevel="0" collapsed="false">
      <c r="A53" s="14" t="s">
        <v>398</v>
      </c>
      <c r="B53" s="15" t="s">
        <v>40</v>
      </c>
      <c r="C53" s="15" t="s">
        <v>399</v>
      </c>
      <c r="D53" s="15" t="s">
        <v>400</v>
      </c>
      <c r="E53" s="15" t="s">
        <v>354</v>
      </c>
      <c r="F53" s="14" t="n">
        <f aca="false">IF(E53="ALL",3,IF(E53="Global",1,LEN(E53)-LEN(SUBSTITUTE(E53,",",""))+1))</f>
        <v>1</v>
      </c>
      <c r="G53" s="16" t="n">
        <v>3</v>
      </c>
      <c r="H53" s="14" t="n">
        <f aca="false">F53*G53</f>
        <v>3</v>
      </c>
      <c r="I53" s="15" t="s">
        <v>401</v>
      </c>
      <c r="J53" s="15" t="s">
        <v>379</v>
      </c>
      <c r="K53" s="15" t="s">
        <v>86</v>
      </c>
      <c r="L53" s="15" t="s">
        <v>402</v>
      </c>
      <c r="M53" s="15" t="s">
        <v>119</v>
      </c>
      <c r="N53" s="15" t="s">
        <v>89</v>
      </c>
      <c r="O53" s="15" t="s">
        <v>90</v>
      </c>
      <c r="P53" s="17" t="n">
        <v>1</v>
      </c>
      <c r="Q53" s="17" t="n">
        <v>1</v>
      </c>
      <c r="R53" s="17" t="n">
        <v>1</v>
      </c>
      <c r="S53" s="17" t="n">
        <v>0</v>
      </c>
      <c r="T53" s="17" t="n">
        <v>0</v>
      </c>
      <c r="U53" s="18" t="s">
        <v>48</v>
      </c>
      <c r="V53" s="15"/>
    </row>
    <row r="54" customFormat="false" ht="23.85" hidden="false" customHeight="false" outlineLevel="0" collapsed="false">
      <c r="A54" s="14" t="s">
        <v>403</v>
      </c>
      <c r="B54" s="15" t="s">
        <v>40</v>
      </c>
      <c r="C54" s="15" t="s">
        <v>404</v>
      </c>
      <c r="D54" s="15" t="s">
        <v>405</v>
      </c>
      <c r="E54" s="15" t="s">
        <v>354</v>
      </c>
      <c r="F54" s="14" t="n">
        <f aca="false">IF(E54="ALL",3,IF(E54="Global",1,LEN(E54)-LEN(SUBSTITUTE(E54,",",""))+1))</f>
        <v>1</v>
      </c>
      <c r="G54" s="16" t="n">
        <v>4</v>
      </c>
      <c r="H54" s="14" t="n">
        <f aca="false">F54*G54</f>
        <v>4</v>
      </c>
      <c r="I54" s="15" t="s">
        <v>406</v>
      </c>
      <c r="J54" s="15" t="s">
        <v>379</v>
      </c>
      <c r="K54" s="15" t="s">
        <v>86</v>
      </c>
      <c r="L54" s="15" t="s">
        <v>407</v>
      </c>
      <c r="M54" s="15" t="s">
        <v>408</v>
      </c>
      <c r="N54" s="15" t="s">
        <v>89</v>
      </c>
      <c r="O54" s="15" t="s">
        <v>90</v>
      </c>
      <c r="P54" s="17" t="n">
        <v>1</v>
      </c>
      <c r="Q54" s="17" t="n">
        <v>1</v>
      </c>
      <c r="R54" s="17" t="n">
        <v>1</v>
      </c>
      <c r="S54" s="17" t="n">
        <v>0</v>
      </c>
      <c r="T54" s="17" t="n">
        <v>0</v>
      </c>
      <c r="U54" s="18" t="s">
        <v>48</v>
      </c>
      <c r="V54" s="15"/>
    </row>
    <row r="55" customFormat="false" ht="23.85" hidden="false" customHeight="false" outlineLevel="0" collapsed="false">
      <c r="A55" s="14" t="s">
        <v>409</v>
      </c>
      <c r="B55" s="15" t="s">
        <v>40</v>
      </c>
      <c r="C55" s="15" t="s">
        <v>410</v>
      </c>
      <c r="D55" s="15" t="s">
        <v>411</v>
      </c>
      <c r="E55" s="15" t="s">
        <v>354</v>
      </c>
      <c r="F55" s="14" t="n">
        <f aca="false">IF(E55="ALL",3,IF(E55="Global",1,LEN(E55)-LEN(SUBSTITUTE(E55,",",""))+1))</f>
        <v>1</v>
      </c>
      <c r="G55" s="16" t="n">
        <v>4</v>
      </c>
      <c r="H55" s="14" t="n">
        <f aca="false">F55*G55</f>
        <v>4</v>
      </c>
      <c r="I55" s="15" t="s">
        <v>412</v>
      </c>
      <c r="J55" s="15" t="s">
        <v>96</v>
      </c>
      <c r="K55" s="15" t="s">
        <v>96</v>
      </c>
      <c r="L55" s="15"/>
      <c r="M55" s="15" t="s">
        <v>413</v>
      </c>
      <c r="N55" s="15" t="s">
        <v>177</v>
      </c>
      <c r="O55" s="15" t="s">
        <v>100</v>
      </c>
      <c r="P55" s="17" t="n">
        <v>0</v>
      </c>
      <c r="Q55" s="17" t="n">
        <v>1</v>
      </c>
      <c r="R55" s="17" t="n">
        <v>1</v>
      </c>
      <c r="S55" s="17" t="n">
        <v>1</v>
      </c>
      <c r="T55" s="17" t="n">
        <v>0</v>
      </c>
      <c r="U55" s="18" t="s">
        <v>48</v>
      </c>
      <c r="V55" s="15"/>
    </row>
    <row r="56" customFormat="false" ht="23.85" hidden="false" customHeight="false" outlineLevel="0" collapsed="false">
      <c r="A56" s="14" t="s">
        <v>414</v>
      </c>
      <c r="B56" s="15" t="s">
        <v>40</v>
      </c>
      <c r="C56" s="15" t="s">
        <v>415</v>
      </c>
      <c r="D56" s="15" t="s">
        <v>416</v>
      </c>
      <c r="E56" s="15" t="s">
        <v>354</v>
      </c>
      <c r="F56" s="14" t="n">
        <f aca="false">IF(E56="ALL",3,IF(E56="Global",1,LEN(E56)-LEN(SUBSTITUTE(E56,",",""))+1))</f>
        <v>1</v>
      </c>
      <c r="G56" s="16" t="n">
        <v>2</v>
      </c>
      <c r="H56" s="14" t="n">
        <f aca="false">F56*G56</f>
        <v>2</v>
      </c>
      <c r="I56" s="15" t="s">
        <v>417</v>
      </c>
      <c r="J56" s="15" t="s">
        <v>379</v>
      </c>
      <c r="K56" s="15" t="s">
        <v>86</v>
      </c>
      <c r="L56" s="15" t="s">
        <v>418</v>
      </c>
      <c r="M56" s="15" t="s">
        <v>119</v>
      </c>
      <c r="N56" s="15" t="s">
        <v>89</v>
      </c>
      <c r="O56" s="15" t="s">
        <v>90</v>
      </c>
      <c r="P56" s="17" t="n">
        <v>0</v>
      </c>
      <c r="Q56" s="17" t="n">
        <v>1</v>
      </c>
      <c r="R56" s="17" t="n">
        <v>1</v>
      </c>
      <c r="S56" s="17" t="n">
        <v>0</v>
      </c>
      <c r="T56" s="17" t="n">
        <v>0</v>
      </c>
      <c r="U56" s="18" t="s">
        <v>48</v>
      </c>
      <c r="V56" s="15" t="s">
        <v>419</v>
      </c>
    </row>
    <row r="57" customFormat="false" ht="23.85" hidden="false" customHeight="false" outlineLevel="0" collapsed="false">
      <c r="A57" s="14" t="s">
        <v>420</v>
      </c>
      <c r="B57" s="15" t="s">
        <v>40</v>
      </c>
      <c r="C57" s="15" t="s">
        <v>421</v>
      </c>
      <c r="D57" s="15" t="s">
        <v>422</v>
      </c>
      <c r="E57" s="15" t="s">
        <v>354</v>
      </c>
      <c r="F57" s="14" t="n">
        <f aca="false">IF(E57="ALL",3,IF(E57="Global",1,LEN(E57)-LEN(SUBSTITUTE(E57,",",""))+1))</f>
        <v>1</v>
      </c>
      <c r="G57" s="16" t="n">
        <v>4</v>
      </c>
      <c r="H57" s="14" t="n">
        <f aca="false">F57*G57</f>
        <v>4</v>
      </c>
      <c r="I57" s="15" t="s">
        <v>95</v>
      </c>
      <c r="J57" s="15" t="s">
        <v>379</v>
      </c>
      <c r="K57" s="15" t="s">
        <v>86</v>
      </c>
      <c r="L57" s="15" t="s">
        <v>423</v>
      </c>
      <c r="M57" s="15" t="s">
        <v>119</v>
      </c>
      <c r="N57" s="15" t="s">
        <v>89</v>
      </c>
      <c r="O57" s="15" t="s">
        <v>90</v>
      </c>
      <c r="P57" s="17" t="n">
        <v>1</v>
      </c>
      <c r="Q57" s="17" t="n">
        <v>1</v>
      </c>
      <c r="R57" s="17" t="n">
        <v>1</v>
      </c>
      <c r="S57" s="17" t="n">
        <v>0</v>
      </c>
      <c r="T57" s="17" t="n">
        <v>0</v>
      </c>
      <c r="U57" s="18" t="s">
        <v>48</v>
      </c>
      <c r="V57" s="15" t="s">
        <v>424</v>
      </c>
    </row>
    <row r="58" customFormat="false" ht="23.85" hidden="false" customHeight="false" outlineLevel="0" collapsed="false">
      <c r="A58" s="14" t="s">
        <v>425</v>
      </c>
      <c r="B58" s="15" t="s">
        <v>40</v>
      </c>
      <c r="C58" s="15" t="s">
        <v>426</v>
      </c>
      <c r="D58" s="15" t="s">
        <v>427</v>
      </c>
      <c r="E58" s="15" t="s">
        <v>354</v>
      </c>
      <c r="F58" s="14" t="n">
        <f aca="false">IF(E58="ALL",3,IF(E58="Global",1,LEN(E58)-LEN(SUBSTITUTE(E58,",",""))+1))</f>
        <v>1</v>
      </c>
      <c r="G58" s="16" t="n">
        <v>1</v>
      </c>
      <c r="H58" s="14" t="n">
        <f aca="false">F58*G58</f>
        <v>1</v>
      </c>
      <c r="I58" s="15" t="s">
        <v>428</v>
      </c>
      <c r="J58" s="15" t="s">
        <v>96</v>
      </c>
      <c r="K58" s="15" t="s">
        <v>96</v>
      </c>
      <c r="L58" s="15" t="s">
        <v>429</v>
      </c>
      <c r="M58" s="15" t="s">
        <v>430</v>
      </c>
      <c r="N58" s="15" t="s">
        <v>177</v>
      </c>
      <c r="O58" s="15" t="s">
        <v>100</v>
      </c>
      <c r="P58" s="17" t="n">
        <v>0</v>
      </c>
      <c r="Q58" s="17" t="n">
        <v>1</v>
      </c>
      <c r="R58" s="17" t="n">
        <v>1</v>
      </c>
      <c r="S58" s="17" t="n">
        <v>0</v>
      </c>
      <c r="T58" s="17" t="n">
        <v>0</v>
      </c>
      <c r="U58" s="19" t="s">
        <v>49</v>
      </c>
      <c r="V58" s="15"/>
    </row>
    <row r="59" customFormat="false" ht="23.85" hidden="false" customHeight="false" outlineLevel="0" collapsed="false">
      <c r="A59" s="14" t="s">
        <v>431</v>
      </c>
      <c r="B59" s="15" t="s">
        <v>41</v>
      </c>
      <c r="C59" s="15" t="s">
        <v>432</v>
      </c>
      <c r="D59" s="15" t="s">
        <v>433</v>
      </c>
      <c r="E59" s="15" t="s">
        <v>83</v>
      </c>
      <c r="F59" s="14" t="n">
        <f aca="false">IF(E59="ALL",3,IF(E59="Global",1,LEN(E59)-LEN(SUBSTITUTE(E59,",",""))+1))</f>
        <v>3</v>
      </c>
      <c r="G59" s="16" t="n">
        <v>2</v>
      </c>
      <c r="H59" s="14" t="n">
        <f aca="false">F59*G59</f>
        <v>6</v>
      </c>
      <c r="I59" s="15" t="s">
        <v>95</v>
      </c>
      <c r="J59" s="15" t="s">
        <v>96</v>
      </c>
      <c r="K59" s="15" t="s">
        <v>96</v>
      </c>
      <c r="L59" s="15" t="s">
        <v>434</v>
      </c>
      <c r="M59" s="15" t="s">
        <v>119</v>
      </c>
      <c r="N59" s="15" t="s">
        <v>99</v>
      </c>
      <c r="O59" s="15" t="s">
        <v>100</v>
      </c>
      <c r="P59" s="17" t="n">
        <v>0</v>
      </c>
      <c r="Q59" s="17" t="n">
        <v>1</v>
      </c>
      <c r="R59" s="17" t="n">
        <v>1</v>
      </c>
      <c r="S59" s="17" t="n">
        <v>0</v>
      </c>
      <c r="T59" s="17" t="n">
        <v>0</v>
      </c>
      <c r="U59" s="18" t="s">
        <v>48</v>
      </c>
      <c r="V59" s="15" t="s">
        <v>435</v>
      </c>
    </row>
    <row r="60" customFormat="false" ht="23.85" hidden="false" customHeight="false" outlineLevel="0" collapsed="false">
      <c r="A60" s="14" t="s">
        <v>436</v>
      </c>
      <c r="B60" s="15" t="s">
        <v>41</v>
      </c>
      <c r="C60" s="15" t="s">
        <v>437</v>
      </c>
      <c r="D60" s="15" t="s">
        <v>438</v>
      </c>
      <c r="E60" s="15" t="s">
        <v>83</v>
      </c>
      <c r="F60" s="14" t="n">
        <f aca="false">IF(E60="ALL",3,IF(E60="Global",1,LEN(E60)-LEN(SUBSTITUTE(E60,",",""))+1))</f>
        <v>3</v>
      </c>
      <c r="G60" s="16" t="n">
        <v>2</v>
      </c>
      <c r="H60" s="14" t="n">
        <f aca="false">F60*G60</f>
        <v>6</v>
      </c>
      <c r="I60" s="15" t="s">
        <v>95</v>
      </c>
      <c r="J60" s="15" t="s">
        <v>96</v>
      </c>
      <c r="K60" s="15" t="s">
        <v>96</v>
      </c>
      <c r="L60" s="15" t="s">
        <v>439</v>
      </c>
      <c r="M60" s="15" t="s">
        <v>141</v>
      </c>
      <c r="N60" s="15" t="s">
        <v>99</v>
      </c>
      <c r="O60" s="15" t="s">
        <v>100</v>
      </c>
      <c r="P60" s="17" t="n">
        <v>0</v>
      </c>
      <c r="Q60" s="17" t="n">
        <v>0</v>
      </c>
      <c r="R60" s="17" t="n">
        <v>1</v>
      </c>
      <c r="S60" s="17" t="n">
        <v>0</v>
      </c>
      <c r="T60" s="17" t="n">
        <v>0</v>
      </c>
      <c r="U60" s="19" t="s">
        <v>49</v>
      </c>
      <c r="V60" s="15" t="s">
        <v>440</v>
      </c>
    </row>
    <row r="61" customFormat="false" ht="23.85" hidden="false" customHeight="false" outlineLevel="0" collapsed="false">
      <c r="A61" s="14" t="s">
        <v>441</v>
      </c>
      <c r="B61" s="15" t="s">
        <v>41</v>
      </c>
      <c r="C61" s="15" t="s">
        <v>442</v>
      </c>
      <c r="D61" s="15" t="s">
        <v>443</v>
      </c>
      <c r="E61" s="15" t="s">
        <v>83</v>
      </c>
      <c r="F61" s="14" t="n">
        <f aca="false">IF(E61="ALL",3,IF(E61="Global",1,LEN(E61)-LEN(SUBSTITUTE(E61,",",""))+1))</f>
        <v>3</v>
      </c>
      <c r="G61" s="16" t="n">
        <v>3</v>
      </c>
      <c r="H61" s="14" t="n">
        <f aca="false">F61*G61</f>
        <v>9</v>
      </c>
      <c r="I61" s="15" t="s">
        <v>95</v>
      </c>
      <c r="J61" s="15" t="s">
        <v>96</v>
      </c>
      <c r="K61" s="15" t="s">
        <v>96</v>
      </c>
      <c r="L61" s="15" t="s">
        <v>444</v>
      </c>
      <c r="M61" s="15" t="s">
        <v>445</v>
      </c>
      <c r="N61" s="15" t="s">
        <v>99</v>
      </c>
      <c r="O61" s="15" t="s">
        <v>100</v>
      </c>
      <c r="P61" s="17" t="n">
        <v>0</v>
      </c>
      <c r="Q61" s="17" t="n">
        <v>1</v>
      </c>
      <c r="R61" s="17" t="n">
        <v>1</v>
      </c>
      <c r="S61" s="17" t="n">
        <v>0</v>
      </c>
      <c r="T61" s="17" t="n">
        <v>0</v>
      </c>
      <c r="U61" s="18" t="s">
        <v>48</v>
      </c>
      <c r="V61" s="15" t="s">
        <v>446</v>
      </c>
    </row>
    <row r="62" customFormat="false" ht="23.85" hidden="false" customHeight="false" outlineLevel="0" collapsed="false">
      <c r="A62" s="14" t="s">
        <v>447</v>
      </c>
      <c r="B62" s="15" t="s">
        <v>41</v>
      </c>
      <c r="C62" s="15" t="s">
        <v>448</v>
      </c>
      <c r="D62" s="15" t="s">
        <v>449</v>
      </c>
      <c r="E62" s="15" t="s">
        <v>83</v>
      </c>
      <c r="F62" s="14" t="n">
        <f aca="false">IF(E62="ALL",3,IF(E62="Global",1,LEN(E62)-LEN(SUBSTITUTE(E62,",",""))+1))</f>
        <v>3</v>
      </c>
      <c r="G62" s="16" t="n">
        <v>2</v>
      </c>
      <c r="H62" s="14" t="n">
        <f aca="false">F62*G62</f>
        <v>6</v>
      </c>
      <c r="I62" s="15" t="s">
        <v>95</v>
      </c>
      <c r="J62" s="15" t="s">
        <v>96</v>
      </c>
      <c r="K62" s="15" t="s">
        <v>96</v>
      </c>
      <c r="L62" s="15" t="s">
        <v>390</v>
      </c>
      <c r="M62" s="15" t="s">
        <v>450</v>
      </c>
      <c r="N62" s="15" t="s">
        <v>99</v>
      </c>
      <c r="O62" s="15" t="s">
        <v>100</v>
      </c>
      <c r="P62" s="17" t="n">
        <v>0</v>
      </c>
      <c r="Q62" s="17" t="n">
        <v>0</v>
      </c>
      <c r="R62" s="17" t="n">
        <v>1</v>
      </c>
      <c r="S62" s="17" t="n">
        <v>1</v>
      </c>
      <c r="T62" s="17" t="n">
        <v>0</v>
      </c>
      <c r="U62" s="19" t="s">
        <v>49</v>
      </c>
      <c r="V62" s="15"/>
    </row>
    <row r="63" customFormat="false" ht="23.85" hidden="false" customHeight="false" outlineLevel="0" collapsed="false">
      <c r="A63" s="14" t="s">
        <v>451</v>
      </c>
      <c r="B63" s="15" t="s">
        <v>42</v>
      </c>
      <c r="C63" s="15" t="s">
        <v>452</v>
      </c>
      <c r="D63" s="15" t="s">
        <v>453</v>
      </c>
      <c r="E63" s="15" t="s">
        <v>83</v>
      </c>
      <c r="F63" s="14" t="n">
        <f aca="false">IF(E63="ALL",3,IF(E63="Global",1,LEN(E63)-LEN(SUBSTITUTE(E63,",",""))+1))</f>
        <v>3</v>
      </c>
      <c r="G63" s="16" t="n">
        <v>1</v>
      </c>
      <c r="H63" s="14" t="n">
        <f aca="false">F63*G63</f>
        <v>3</v>
      </c>
      <c r="I63" s="15" t="s">
        <v>454</v>
      </c>
      <c r="J63" s="15" t="s">
        <v>198</v>
      </c>
      <c r="K63" s="15" t="s">
        <v>96</v>
      </c>
      <c r="L63" s="15" t="s">
        <v>455</v>
      </c>
      <c r="M63" s="15" t="s">
        <v>199</v>
      </c>
      <c r="N63" s="15" t="s">
        <v>456</v>
      </c>
      <c r="O63" s="15" t="s">
        <v>457</v>
      </c>
      <c r="P63" s="17" t="n">
        <v>0</v>
      </c>
      <c r="Q63" s="17" t="n">
        <v>1</v>
      </c>
      <c r="R63" s="17" t="n">
        <v>1</v>
      </c>
      <c r="S63" s="17" t="n">
        <v>0</v>
      </c>
      <c r="T63" s="17" t="n">
        <v>0</v>
      </c>
      <c r="U63" s="19" t="s">
        <v>49</v>
      </c>
      <c r="V63" s="15" t="s">
        <v>458</v>
      </c>
    </row>
    <row r="64" customFormat="false" ht="23.85" hidden="false" customHeight="false" outlineLevel="0" collapsed="false">
      <c r="A64" s="14" t="s">
        <v>459</v>
      </c>
      <c r="B64" s="15" t="s">
        <v>42</v>
      </c>
      <c r="C64" s="15" t="s">
        <v>460</v>
      </c>
      <c r="D64" s="15" t="s">
        <v>461</v>
      </c>
      <c r="E64" s="15" t="s">
        <v>83</v>
      </c>
      <c r="F64" s="14" t="n">
        <f aca="false">IF(E64="ALL",3,IF(E64="Global",1,LEN(E64)-LEN(SUBSTITUTE(E64,",",""))+1))</f>
        <v>3</v>
      </c>
      <c r="G64" s="16" t="n">
        <v>1</v>
      </c>
      <c r="H64" s="14" t="n">
        <f aca="false">F64*G64</f>
        <v>3</v>
      </c>
      <c r="I64" s="15" t="s">
        <v>342</v>
      </c>
      <c r="J64" s="15" t="s">
        <v>462</v>
      </c>
      <c r="K64" s="15" t="s">
        <v>96</v>
      </c>
      <c r="L64" s="15"/>
      <c r="M64" s="15" t="s">
        <v>199</v>
      </c>
      <c r="N64" s="15" t="s">
        <v>258</v>
      </c>
      <c r="O64" s="15" t="s">
        <v>457</v>
      </c>
      <c r="P64" s="17" t="n">
        <v>0</v>
      </c>
      <c r="Q64" s="17" t="n">
        <v>1</v>
      </c>
      <c r="R64" s="17" t="n">
        <v>1</v>
      </c>
      <c r="S64" s="17" t="n">
        <v>0</v>
      </c>
      <c r="T64" s="17" t="n">
        <v>0</v>
      </c>
      <c r="U64" s="20" t="s">
        <v>50</v>
      </c>
      <c r="V64" s="15"/>
    </row>
    <row r="65" customFormat="false" ht="23.85" hidden="false" customHeight="false" outlineLevel="0" collapsed="false">
      <c r="A65" s="14" t="s">
        <v>463</v>
      </c>
      <c r="B65" s="15" t="s">
        <v>43</v>
      </c>
      <c r="C65" s="15" t="s">
        <v>464</v>
      </c>
      <c r="D65" s="15" t="s">
        <v>465</v>
      </c>
      <c r="E65" s="15" t="s">
        <v>354</v>
      </c>
      <c r="F65" s="14" t="n">
        <f aca="false">IF(E65="ALL",3,IF(E65="Global",1,LEN(E65)-LEN(SUBSTITUTE(E65,",",""))+1))</f>
        <v>1</v>
      </c>
      <c r="G65" s="16" t="n">
        <v>7</v>
      </c>
      <c r="H65" s="14" t="n">
        <f aca="false">F65*G65</f>
        <v>7</v>
      </c>
      <c r="I65" s="15" t="s">
        <v>466</v>
      </c>
      <c r="J65" s="15" t="s">
        <v>85</v>
      </c>
      <c r="K65" s="15" t="s">
        <v>86</v>
      </c>
      <c r="L65" s="15"/>
      <c r="M65" s="15" t="s">
        <v>330</v>
      </c>
      <c r="N65" s="15" t="s">
        <v>467</v>
      </c>
      <c r="O65" s="15" t="s">
        <v>90</v>
      </c>
      <c r="P65" s="17" t="n">
        <v>1</v>
      </c>
      <c r="Q65" s="17" t="n">
        <v>1</v>
      </c>
      <c r="R65" s="17" t="n">
        <v>0</v>
      </c>
      <c r="S65" s="17" t="n">
        <v>0</v>
      </c>
      <c r="T65" s="17" t="n">
        <v>1</v>
      </c>
      <c r="U65" s="18" t="s">
        <v>48</v>
      </c>
      <c r="V65" s="15"/>
    </row>
    <row r="66" customFormat="false" ht="23.85" hidden="false" customHeight="false" outlineLevel="0" collapsed="false">
      <c r="A66" s="14" t="s">
        <v>468</v>
      </c>
      <c r="B66" s="15" t="s">
        <v>43</v>
      </c>
      <c r="C66" s="15" t="s">
        <v>469</v>
      </c>
      <c r="D66" s="15" t="s">
        <v>470</v>
      </c>
      <c r="E66" s="15" t="s">
        <v>83</v>
      </c>
      <c r="F66" s="14" t="n">
        <f aca="false">IF(E66="ALL",3,IF(E66="Global",1,LEN(E66)-LEN(SUBSTITUTE(E66,",",""))+1))</f>
        <v>3</v>
      </c>
      <c r="G66" s="16" t="n">
        <v>2</v>
      </c>
      <c r="H66" s="14" t="n">
        <f aca="false">F66*G66</f>
        <v>6</v>
      </c>
      <c r="I66" s="15" t="s">
        <v>471</v>
      </c>
      <c r="J66" s="15" t="s">
        <v>85</v>
      </c>
      <c r="K66" s="15" t="s">
        <v>86</v>
      </c>
      <c r="L66" s="15"/>
      <c r="M66" s="15" t="s">
        <v>330</v>
      </c>
      <c r="N66" s="15" t="s">
        <v>467</v>
      </c>
      <c r="O66" s="15" t="s">
        <v>90</v>
      </c>
      <c r="P66" s="17" t="n">
        <v>1</v>
      </c>
      <c r="Q66" s="17" t="n">
        <v>1</v>
      </c>
      <c r="R66" s="17" t="n">
        <v>0</v>
      </c>
      <c r="S66" s="17" t="n">
        <v>0</v>
      </c>
      <c r="T66" s="17" t="n">
        <v>1</v>
      </c>
      <c r="U66" s="18" t="s">
        <v>48</v>
      </c>
      <c r="V66" s="15" t="s">
        <v>472</v>
      </c>
    </row>
    <row r="67" customFormat="false" ht="23.85" hidden="false" customHeight="false" outlineLevel="0" collapsed="false">
      <c r="A67" s="14" t="s">
        <v>473</v>
      </c>
      <c r="B67" s="15" t="s">
        <v>43</v>
      </c>
      <c r="C67" s="15" t="s">
        <v>474</v>
      </c>
      <c r="D67" s="15" t="s">
        <v>475</v>
      </c>
      <c r="E67" s="15" t="s">
        <v>83</v>
      </c>
      <c r="F67" s="14" t="n">
        <f aca="false">IF(E67="ALL",3,IF(E67="Global",1,LEN(E67)-LEN(SUBSTITUTE(E67,",",""))+1))</f>
        <v>3</v>
      </c>
      <c r="G67" s="16" t="n">
        <v>1</v>
      </c>
      <c r="H67" s="14" t="n">
        <f aca="false">F67*G67</f>
        <v>3</v>
      </c>
      <c r="I67" s="15" t="s">
        <v>476</v>
      </c>
      <c r="J67" s="15" t="s">
        <v>329</v>
      </c>
      <c r="K67" s="15" t="s">
        <v>96</v>
      </c>
      <c r="L67" s="15"/>
      <c r="M67" s="15" t="s">
        <v>477</v>
      </c>
      <c r="N67" s="15" t="s">
        <v>467</v>
      </c>
      <c r="O67" s="15" t="s">
        <v>90</v>
      </c>
      <c r="P67" s="17" t="n">
        <v>0</v>
      </c>
      <c r="Q67" s="17" t="n">
        <v>1</v>
      </c>
      <c r="R67" s="17" t="n">
        <v>1</v>
      </c>
      <c r="S67" s="17" t="n">
        <v>0</v>
      </c>
      <c r="T67" s="17" t="n">
        <v>1</v>
      </c>
      <c r="U67" s="18" t="s">
        <v>48</v>
      </c>
      <c r="V67" s="15" t="s">
        <v>478</v>
      </c>
    </row>
    <row r="68" customFormat="false" ht="23.85" hidden="false" customHeight="false" outlineLevel="0" collapsed="false">
      <c r="A68" s="14" t="s">
        <v>479</v>
      </c>
      <c r="B68" s="15" t="s">
        <v>43</v>
      </c>
      <c r="C68" s="15" t="s">
        <v>480</v>
      </c>
      <c r="D68" s="15" t="s">
        <v>481</v>
      </c>
      <c r="E68" s="15" t="s">
        <v>354</v>
      </c>
      <c r="F68" s="14" t="n">
        <f aca="false">IF(E68="ALL",3,IF(E68="Global",1,LEN(E68)-LEN(SUBSTITUTE(E68,",",""))+1))</f>
        <v>1</v>
      </c>
      <c r="G68" s="16" t="n">
        <v>2</v>
      </c>
      <c r="H68" s="14" t="n">
        <f aca="false">F68*G68</f>
        <v>2</v>
      </c>
      <c r="I68" s="15" t="s">
        <v>329</v>
      </c>
      <c r="J68" s="15" t="s">
        <v>329</v>
      </c>
      <c r="K68" s="15" t="s">
        <v>96</v>
      </c>
      <c r="L68" s="15"/>
      <c r="M68" s="15" t="s">
        <v>330</v>
      </c>
      <c r="N68" s="15" t="s">
        <v>467</v>
      </c>
      <c r="O68" s="15" t="s">
        <v>90</v>
      </c>
      <c r="P68" s="17" t="n">
        <v>0</v>
      </c>
      <c r="Q68" s="17" t="n">
        <v>1</v>
      </c>
      <c r="R68" s="17" t="n">
        <v>1</v>
      </c>
      <c r="S68" s="17" t="n">
        <v>0</v>
      </c>
      <c r="T68" s="17" t="n">
        <v>1</v>
      </c>
      <c r="U68" s="19" t="s">
        <v>49</v>
      </c>
      <c r="V68" s="15" t="s">
        <v>482</v>
      </c>
    </row>
    <row r="69" customFormat="false" ht="23.85" hidden="false" customHeight="false" outlineLevel="0" collapsed="false">
      <c r="A69" s="14" t="s">
        <v>483</v>
      </c>
      <c r="B69" s="15" t="s">
        <v>43</v>
      </c>
      <c r="C69" s="15" t="s">
        <v>484</v>
      </c>
      <c r="D69" s="15" t="s">
        <v>485</v>
      </c>
      <c r="E69" s="15" t="s">
        <v>83</v>
      </c>
      <c r="F69" s="14" t="n">
        <f aca="false">IF(E69="ALL",3,IF(E69="Global",1,LEN(E69)-LEN(SUBSTITUTE(E69,",",""))+1))</f>
        <v>3</v>
      </c>
      <c r="G69" s="16" t="n">
        <v>3</v>
      </c>
      <c r="H69" s="14" t="n">
        <f aca="false">F69*G69</f>
        <v>9</v>
      </c>
      <c r="I69" s="15" t="s">
        <v>486</v>
      </c>
      <c r="J69" s="15" t="s">
        <v>329</v>
      </c>
      <c r="K69" s="15" t="s">
        <v>96</v>
      </c>
      <c r="L69" s="15"/>
      <c r="M69" s="15" t="s">
        <v>330</v>
      </c>
      <c r="N69" s="15" t="s">
        <v>487</v>
      </c>
      <c r="O69" s="15" t="s">
        <v>90</v>
      </c>
      <c r="P69" s="17" t="n">
        <v>0</v>
      </c>
      <c r="Q69" s="17" t="n">
        <v>1</v>
      </c>
      <c r="R69" s="17" t="n">
        <v>1</v>
      </c>
      <c r="S69" s="17" t="n">
        <v>0</v>
      </c>
      <c r="T69" s="17" t="n">
        <v>0</v>
      </c>
      <c r="U69" s="18" t="s">
        <v>48</v>
      </c>
      <c r="V69" s="15"/>
    </row>
    <row r="70" customFormat="false" ht="23.85" hidden="false" customHeight="false" outlineLevel="0" collapsed="false">
      <c r="A70" s="14" t="s">
        <v>488</v>
      </c>
      <c r="B70" s="15" t="s">
        <v>44</v>
      </c>
      <c r="C70" s="15" t="s">
        <v>489</v>
      </c>
      <c r="D70" s="15" t="s">
        <v>490</v>
      </c>
      <c r="E70" s="15" t="s">
        <v>83</v>
      </c>
      <c r="F70" s="14" t="n">
        <f aca="false">IF(E70="ALL",3,IF(E70="Global",1,LEN(E70)-LEN(SUBSTITUTE(E70,",",""))+1))</f>
        <v>3</v>
      </c>
      <c r="G70" s="16" t="n">
        <v>2</v>
      </c>
      <c r="H70" s="14" t="n">
        <f aca="false">F70*G70</f>
        <v>6</v>
      </c>
      <c r="I70" s="15" t="s">
        <v>491</v>
      </c>
      <c r="J70" s="15" t="s">
        <v>329</v>
      </c>
      <c r="K70" s="15" t="s">
        <v>96</v>
      </c>
      <c r="L70" s="15"/>
      <c r="M70" s="15" t="s">
        <v>330</v>
      </c>
      <c r="N70" s="15" t="s">
        <v>467</v>
      </c>
      <c r="O70" s="15" t="s">
        <v>90</v>
      </c>
      <c r="P70" s="17" t="n">
        <v>0</v>
      </c>
      <c r="Q70" s="17" t="n">
        <v>1</v>
      </c>
      <c r="R70" s="17" t="n">
        <v>1</v>
      </c>
      <c r="S70" s="17" t="n">
        <v>1</v>
      </c>
      <c r="T70" s="17" t="n">
        <v>0</v>
      </c>
      <c r="U70" s="18" t="s">
        <v>48</v>
      </c>
      <c r="V70" s="15"/>
    </row>
    <row r="71" customFormat="false" ht="35.05" hidden="false" customHeight="false" outlineLevel="0" collapsed="false">
      <c r="A71" s="14" t="s">
        <v>492</v>
      </c>
      <c r="B71" s="15" t="s">
        <v>44</v>
      </c>
      <c r="C71" s="15" t="s">
        <v>493</v>
      </c>
      <c r="D71" s="15" t="s">
        <v>494</v>
      </c>
      <c r="E71" s="15" t="s">
        <v>83</v>
      </c>
      <c r="F71" s="14" t="n">
        <f aca="false">IF(E71="ALL",3,IF(E71="Global",1,LEN(E71)-LEN(SUBSTITUTE(E71,",",""))+1))</f>
        <v>3</v>
      </c>
      <c r="G71" s="16" t="n">
        <v>2</v>
      </c>
      <c r="H71" s="14" t="n">
        <f aca="false">F71*G71</f>
        <v>6</v>
      </c>
      <c r="I71" s="15" t="s">
        <v>495</v>
      </c>
      <c r="J71" s="15" t="s">
        <v>248</v>
      </c>
      <c r="K71" s="15" t="s">
        <v>96</v>
      </c>
      <c r="L71" s="15" t="s">
        <v>496</v>
      </c>
      <c r="M71" s="15" t="s">
        <v>119</v>
      </c>
      <c r="N71" s="15" t="s">
        <v>497</v>
      </c>
      <c r="O71" s="15" t="s">
        <v>143</v>
      </c>
      <c r="P71" s="17" t="n">
        <v>0</v>
      </c>
      <c r="Q71" s="17" t="n">
        <v>1</v>
      </c>
      <c r="R71" s="17" t="n">
        <v>1</v>
      </c>
      <c r="S71" s="17" t="n">
        <v>0</v>
      </c>
      <c r="T71" s="17" t="n">
        <v>0</v>
      </c>
      <c r="U71" s="19" t="s">
        <v>49</v>
      </c>
      <c r="V71" s="15" t="s">
        <v>498</v>
      </c>
    </row>
    <row r="72" customFormat="false" ht="35.05" hidden="false" customHeight="false" outlineLevel="0" collapsed="false">
      <c r="A72" s="14" t="s">
        <v>499</v>
      </c>
      <c r="B72" s="15" t="s">
        <v>44</v>
      </c>
      <c r="C72" s="15" t="s">
        <v>500</v>
      </c>
      <c r="D72" s="15" t="s">
        <v>501</v>
      </c>
      <c r="E72" s="15" t="s">
        <v>83</v>
      </c>
      <c r="F72" s="14" t="n">
        <f aca="false">IF(E72="ALL",3,IF(E72="Global",1,LEN(E72)-LEN(SUBSTITUTE(E72,",",""))+1))</f>
        <v>3</v>
      </c>
      <c r="G72" s="16" t="n">
        <v>2</v>
      </c>
      <c r="H72" s="14" t="n">
        <f aca="false">F72*G72</f>
        <v>6</v>
      </c>
      <c r="I72" s="15" t="s">
        <v>502</v>
      </c>
      <c r="J72" s="15" t="s">
        <v>322</v>
      </c>
      <c r="K72" s="15" t="s">
        <v>96</v>
      </c>
      <c r="L72" s="15" t="s">
        <v>503</v>
      </c>
      <c r="M72" s="15" t="s">
        <v>119</v>
      </c>
      <c r="N72" s="15" t="s">
        <v>504</v>
      </c>
      <c r="O72" s="15" t="s">
        <v>143</v>
      </c>
      <c r="P72" s="17" t="n">
        <v>0</v>
      </c>
      <c r="Q72" s="17" t="n">
        <v>1</v>
      </c>
      <c r="R72" s="17" t="n">
        <v>1</v>
      </c>
      <c r="S72" s="17" t="n">
        <v>1</v>
      </c>
      <c r="T72" s="17" t="n">
        <v>0</v>
      </c>
      <c r="U72" s="18" t="s">
        <v>48</v>
      </c>
      <c r="V72" s="15" t="s">
        <v>505</v>
      </c>
    </row>
    <row r="73" customFormat="false" ht="35.05" hidden="false" customHeight="false" outlineLevel="0" collapsed="false">
      <c r="A73" s="14" t="s">
        <v>506</v>
      </c>
      <c r="B73" s="15" t="s">
        <v>45</v>
      </c>
      <c r="C73" s="15" t="s">
        <v>507</v>
      </c>
      <c r="D73" s="15" t="s">
        <v>508</v>
      </c>
      <c r="E73" s="15" t="s">
        <v>83</v>
      </c>
      <c r="F73" s="14" t="n">
        <f aca="false">IF(E73="ALL",3,IF(E73="Global",1,LEN(E73)-LEN(SUBSTITUTE(E73,",",""))+1))</f>
        <v>3</v>
      </c>
      <c r="G73" s="16" t="n">
        <v>2</v>
      </c>
      <c r="H73" s="14" t="n">
        <f aca="false">F73*G73</f>
        <v>6</v>
      </c>
      <c r="I73" s="15" t="s">
        <v>509</v>
      </c>
      <c r="J73" s="15" t="s">
        <v>322</v>
      </c>
      <c r="K73" s="15" t="s">
        <v>96</v>
      </c>
      <c r="L73" s="15" t="s">
        <v>510</v>
      </c>
      <c r="M73" s="15" t="s">
        <v>373</v>
      </c>
      <c r="N73" s="15" t="s">
        <v>511</v>
      </c>
      <c r="O73" s="15" t="s">
        <v>143</v>
      </c>
      <c r="P73" s="17" t="n">
        <v>0</v>
      </c>
      <c r="Q73" s="17" t="n">
        <v>1</v>
      </c>
      <c r="R73" s="17" t="n">
        <v>1</v>
      </c>
      <c r="S73" s="17" t="n">
        <v>0</v>
      </c>
      <c r="T73" s="17" t="n">
        <v>0</v>
      </c>
      <c r="U73" s="18" t="s">
        <v>48</v>
      </c>
      <c r="V73" s="15" t="s">
        <v>512</v>
      </c>
    </row>
    <row r="74" customFormat="false" ht="23.85" hidden="false" customHeight="false" outlineLevel="0" collapsed="false">
      <c r="A74" s="14" t="s">
        <v>513</v>
      </c>
      <c r="B74" s="15" t="s">
        <v>45</v>
      </c>
      <c r="C74" s="15" t="s">
        <v>514</v>
      </c>
      <c r="D74" s="15" t="s">
        <v>515</v>
      </c>
      <c r="E74" s="15" t="s">
        <v>83</v>
      </c>
      <c r="F74" s="14" t="n">
        <f aca="false">IF(E74="ALL",3,IF(E74="Global",1,LEN(E74)-LEN(SUBSTITUTE(E74,",",""))+1))</f>
        <v>3</v>
      </c>
      <c r="G74" s="16" t="n">
        <v>2</v>
      </c>
      <c r="H74" s="14" t="n">
        <f aca="false">F74*G74</f>
        <v>6</v>
      </c>
      <c r="I74" s="15" t="s">
        <v>516</v>
      </c>
      <c r="J74" s="15" t="s">
        <v>89</v>
      </c>
      <c r="K74" s="15" t="s">
        <v>86</v>
      </c>
      <c r="L74" s="15" t="s">
        <v>517</v>
      </c>
      <c r="M74" s="15" t="s">
        <v>518</v>
      </c>
      <c r="N74" s="15" t="s">
        <v>89</v>
      </c>
      <c r="O74" s="15" t="s">
        <v>90</v>
      </c>
      <c r="P74" s="17" t="n">
        <v>1</v>
      </c>
      <c r="Q74" s="17" t="n">
        <v>1</v>
      </c>
      <c r="R74" s="17" t="n">
        <v>1</v>
      </c>
      <c r="S74" s="17" t="n">
        <v>0</v>
      </c>
      <c r="T74" s="17" t="n">
        <v>0</v>
      </c>
      <c r="U74" s="18" t="s">
        <v>48</v>
      </c>
      <c r="V74" s="15" t="s">
        <v>519</v>
      </c>
    </row>
    <row r="75" customFormat="false" ht="23.85" hidden="false" customHeight="false" outlineLevel="0" collapsed="false">
      <c r="A75" s="14" t="s">
        <v>520</v>
      </c>
      <c r="B75" s="15" t="s">
        <v>45</v>
      </c>
      <c r="C75" s="15" t="s">
        <v>521</v>
      </c>
      <c r="D75" s="15" t="s">
        <v>522</v>
      </c>
      <c r="E75" s="15" t="s">
        <v>83</v>
      </c>
      <c r="F75" s="14" t="n">
        <f aca="false">IF(E75="ALL",3,IF(E75="Global",1,LEN(E75)-LEN(SUBSTITUTE(E75,",",""))+1))</f>
        <v>3</v>
      </c>
      <c r="G75" s="16" t="n">
        <v>2</v>
      </c>
      <c r="H75" s="14" t="n">
        <f aca="false">F75*G75</f>
        <v>6</v>
      </c>
      <c r="I75" s="15" t="s">
        <v>523</v>
      </c>
      <c r="J75" s="15" t="s">
        <v>89</v>
      </c>
      <c r="K75" s="15" t="s">
        <v>86</v>
      </c>
      <c r="L75" s="15" t="s">
        <v>517</v>
      </c>
      <c r="M75" s="15" t="s">
        <v>518</v>
      </c>
      <c r="N75" s="15" t="s">
        <v>89</v>
      </c>
      <c r="O75" s="15" t="s">
        <v>90</v>
      </c>
      <c r="P75" s="17" t="n">
        <v>1</v>
      </c>
      <c r="Q75" s="17" t="n">
        <v>1</v>
      </c>
      <c r="R75" s="17" t="n">
        <v>1</v>
      </c>
      <c r="S75" s="17" t="n">
        <v>0</v>
      </c>
      <c r="T75" s="17" t="n">
        <v>0</v>
      </c>
      <c r="U75" s="18" t="s">
        <v>48</v>
      </c>
      <c r="V75" s="15"/>
    </row>
    <row r="76" customFormat="false" ht="23.85" hidden="false" customHeight="false" outlineLevel="0" collapsed="false">
      <c r="A76" s="14" t="s">
        <v>524</v>
      </c>
      <c r="B76" s="15" t="s">
        <v>45</v>
      </c>
      <c r="C76" s="15" t="s">
        <v>525</v>
      </c>
      <c r="D76" s="15" t="s">
        <v>526</v>
      </c>
      <c r="E76" s="15" t="s">
        <v>83</v>
      </c>
      <c r="F76" s="14" t="n">
        <f aca="false">IF(E76="ALL",3,IF(E76="Global",1,LEN(E76)-LEN(SUBSTITUTE(E76,",",""))+1))</f>
        <v>3</v>
      </c>
      <c r="G76" s="16" t="n">
        <v>1</v>
      </c>
      <c r="H76" s="14" t="n">
        <f aca="false">F76*G76</f>
        <v>3</v>
      </c>
      <c r="I76" s="15" t="s">
        <v>523</v>
      </c>
      <c r="J76" s="15" t="s">
        <v>89</v>
      </c>
      <c r="K76" s="15" t="s">
        <v>96</v>
      </c>
      <c r="L76" s="15" t="s">
        <v>527</v>
      </c>
      <c r="M76" s="15" t="s">
        <v>518</v>
      </c>
      <c r="N76" s="15" t="s">
        <v>89</v>
      </c>
      <c r="O76" s="15" t="s">
        <v>90</v>
      </c>
      <c r="P76" s="17" t="n">
        <v>0</v>
      </c>
      <c r="Q76" s="17" t="n">
        <v>0</v>
      </c>
      <c r="R76" s="17" t="n">
        <v>1</v>
      </c>
      <c r="S76" s="17" t="n">
        <v>0</v>
      </c>
      <c r="T76" s="17" t="n">
        <v>0</v>
      </c>
      <c r="U76" s="20" t="s">
        <v>50</v>
      </c>
      <c r="V76" s="15" t="s">
        <v>528</v>
      </c>
    </row>
    <row r="77" customFormat="false" ht="46.25" hidden="false" customHeight="false" outlineLevel="0" collapsed="false">
      <c r="A77" s="14" t="s">
        <v>529</v>
      </c>
      <c r="B77" s="15" t="s">
        <v>46</v>
      </c>
      <c r="C77" s="15" t="s">
        <v>530</v>
      </c>
      <c r="D77" s="15" t="s">
        <v>531</v>
      </c>
      <c r="E77" s="15" t="s">
        <v>354</v>
      </c>
      <c r="F77" s="14" t="n">
        <f aca="false">IF(E77="ALL",3,IF(E77="Global",1,LEN(E77)-LEN(SUBSTITUTE(E77,",",""))+1))</f>
        <v>1</v>
      </c>
      <c r="G77" s="16" t="n">
        <v>5</v>
      </c>
      <c r="H77" s="14" t="n">
        <f aca="false">F77*G77</f>
        <v>5</v>
      </c>
      <c r="I77" s="15" t="s">
        <v>532</v>
      </c>
      <c r="J77" s="15" t="s">
        <v>96</v>
      </c>
      <c r="K77" s="15" t="s">
        <v>96</v>
      </c>
      <c r="L77" s="15" t="s">
        <v>533</v>
      </c>
      <c r="M77" s="15" t="s">
        <v>119</v>
      </c>
      <c r="N77" s="15" t="s">
        <v>99</v>
      </c>
      <c r="O77" s="15" t="s">
        <v>534</v>
      </c>
      <c r="P77" s="17" t="n">
        <v>0</v>
      </c>
      <c r="Q77" s="17" t="n">
        <v>1</v>
      </c>
      <c r="R77" s="17" t="n">
        <v>1</v>
      </c>
      <c r="S77" s="17" t="n">
        <v>0</v>
      </c>
      <c r="T77" s="17" t="n">
        <v>0</v>
      </c>
      <c r="U77" s="18" t="s">
        <v>48</v>
      </c>
      <c r="V77" s="15" t="s">
        <v>535</v>
      </c>
    </row>
    <row r="78" customFormat="false" ht="23.85" hidden="false" customHeight="false" outlineLevel="0" collapsed="false">
      <c r="A78" s="14" t="s">
        <v>536</v>
      </c>
      <c r="B78" s="15" t="s">
        <v>46</v>
      </c>
      <c r="C78" s="15" t="s">
        <v>537</v>
      </c>
      <c r="D78" s="15" t="s">
        <v>538</v>
      </c>
      <c r="E78" s="15" t="s">
        <v>83</v>
      </c>
      <c r="F78" s="14" t="n">
        <f aca="false">IF(E78="ALL",3,IF(E78="Global",1,LEN(E78)-LEN(SUBSTITUTE(E78,",",""))+1))</f>
        <v>3</v>
      </c>
      <c r="G78" s="16" t="n">
        <v>1</v>
      </c>
      <c r="H78" s="14" t="n">
        <f aca="false">F78*G78</f>
        <v>3</v>
      </c>
      <c r="I78" s="15" t="s">
        <v>539</v>
      </c>
      <c r="J78" s="15" t="s">
        <v>96</v>
      </c>
      <c r="K78" s="15" t="s">
        <v>96</v>
      </c>
      <c r="L78" s="15" t="s">
        <v>540</v>
      </c>
      <c r="M78" s="15" t="s">
        <v>141</v>
      </c>
      <c r="N78" s="15" t="s">
        <v>99</v>
      </c>
      <c r="O78" s="15" t="s">
        <v>100</v>
      </c>
      <c r="P78" s="17" t="n">
        <v>0</v>
      </c>
      <c r="Q78" s="17" t="n">
        <v>0</v>
      </c>
      <c r="R78" s="17" t="n">
        <v>1</v>
      </c>
      <c r="S78" s="17" t="n">
        <v>1</v>
      </c>
      <c r="T78" s="17" t="n">
        <v>1</v>
      </c>
      <c r="U78" s="19" t="s">
        <v>49</v>
      </c>
      <c r="V78" s="15"/>
    </row>
    <row r="79" customFormat="false" ht="23.85" hidden="false" customHeight="false" outlineLevel="0" collapsed="false">
      <c r="A79" s="14" t="s">
        <v>541</v>
      </c>
      <c r="B79" s="15" t="s">
        <v>46</v>
      </c>
      <c r="C79" s="15" t="s">
        <v>542</v>
      </c>
      <c r="D79" s="15" t="s">
        <v>543</v>
      </c>
      <c r="E79" s="15" t="s">
        <v>83</v>
      </c>
      <c r="F79" s="14" t="n">
        <f aca="false">IF(E79="ALL",3,IF(E79="Global",1,LEN(E79)-LEN(SUBSTITUTE(E79,",",""))+1))</f>
        <v>3</v>
      </c>
      <c r="G79" s="16" t="n">
        <v>1</v>
      </c>
      <c r="H79" s="14" t="n">
        <f aca="false">F79*G79</f>
        <v>3</v>
      </c>
      <c r="I79" s="15" t="s">
        <v>544</v>
      </c>
      <c r="J79" s="15" t="s">
        <v>96</v>
      </c>
      <c r="K79" s="15" t="s">
        <v>96</v>
      </c>
      <c r="L79" s="15"/>
      <c r="M79" s="15" t="s">
        <v>119</v>
      </c>
      <c r="N79" s="15" t="s">
        <v>308</v>
      </c>
      <c r="O79" s="15" t="s">
        <v>100</v>
      </c>
      <c r="P79" s="17" t="n">
        <v>0</v>
      </c>
      <c r="Q79" s="17" t="n">
        <v>0</v>
      </c>
      <c r="R79" s="17" t="n">
        <v>1</v>
      </c>
      <c r="S79" s="17" t="n">
        <v>0</v>
      </c>
      <c r="T79" s="17" t="n">
        <v>0</v>
      </c>
      <c r="U79" s="19" t="s">
        <v>49</v>
      </c>
      <c r="V79" s="15" t="s">
        <v>545</v>
      </c>
    </row>
    <row r="80" customFormat="false" ht="23.85" hidden="false" customHeight="false" outlineLevel="0" collapsed="false">
      <c r="A80" s="14" t="s">
        <v>546</v>
      </c>
      <c r="B80" s="15" t="s">
        <v>46</v>
      </c>
      <c r="C80" s="15" t="s">
        <v>547</v>
      </c>
      <c r="D80" s="15" t="s">
        <v>548</v>
      </c>
      <c r="E80" s="15" t="s">
        <v>83</v>
      </c>
      <c r="F80" s="14" t="n">
        <f aca="false">IF(E80="ALL",3,IF(E80="Global",1,LEN(E80)-LEN(SUBSTITUTE(E80,",",""))+1))</f>
        <v>3</v>
      </c>
      <c r="G80" s="16" t="n">
        <v>4</v>
      </c>
      <c r="H80" s="14" t="n">
        <f aca="false">F80*G80</f>
        <v>12</v>
      </c>
      <c r="I80" s="15" t="s">
        <v>544</v>
      </c>
      <c r="J80" s="15" t="s">
        <v>96</v>
      </c>
      <c r="K80" s="15" t="s">
        <v>96</v>
      </c>
      <c r="L80" s="15" t="s">
        <v>390</v>
      </c>
      <c r="M80" s="15" t="s">
        <v>549</v>
      </c>
      <c r="N80" s="15" t="s">
        <v>550</v>
      </c>
      <c r="O80" s="15" t="s">
        <v>551</v>
      </c>
      <c r="P80" s="17" t="n">
        <v>0</v>
      </c>
      <c r="Q80" s="17" t="n">
        <v>0</v>
      </c>
      <c r="R80" s="17" t="n">
        <v>1</v>
      </c>
      <c r="S80" s="17" t="n">
        <v>0</v>
      </c>
      <c r="T80" s="17" t="n">
        <v>0</v>
      </c>
      <c r="U80" s="20" t="s">
        <v>50</v>
      </c>
      <c r="V80" s="15" t="s">
        <v>552</v>
      </c>
    </row>
    <row r="82" customFormat="false" ht="15" hidden="false" customHeight="false" outlineLevel="0" collapsed="false">
      <c r="A82" s="2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38"/>
  </cols>
  <sheetData>
    <row r="1" customFormat="false" ht="31.5" hidden="false" customHeight="true" outlineLevel="0" collapsed="false">
      <c r="A1" s="7" t="s">
        <v>554</v>
      </c>
      <c r="B1" s="7" t="s">
        <v>555</v>
      </c>
      <c r="C1" s="7" t="s">
        <v>556</v>
      </c>
      <c r="D1" s="7" t="s">
        <v>557</v>
      </c>
      <c r="E1" s="7" t="s">
        <v>558</v>
      </c>
      <c r="F1" s="7" t="s">
        <v>559</v>
      </c>
      <c r="G1" s="7" t="s">
        <v>560</v>
      </c>
      <c r="H1" s="7" t="s">
        <v>561</v>
      </c>
      <c r="I1" s="7" t="s">
        <v>79</v>
      </c>
    </row>
    <row r="2" customFormat="false" ht="23.85" hidden="false" customHeight="false" outlineLevel="0" collapsed="false">
      <c r="A2" s="14" t="s">
        <v>85</v>
      </c>
      <c r="B2" s="14" t="s">
        <v>85</v>
      </c>
      <c r="C2" s="15" t="s">
        <v>562</v>
      </c>
      <c r="D2" s="15" t="s">
        <v>563</v>
      </c>
      <c r="E2" s="15" t="s">
        <v>564</v>
      </c>
      <c r="F2" s="15" t="s">
        <v>565</v>
      </c>
      <c r="G2" s="15" t="s">
        <v>566</v>
      </c>
      <c r="H2" s="15" t="s">
        <v>567</v>
      </c>
      <c r="I2" s="15" t="s">
        <v>568</v>
      </c>
    </row>
    <row r="3" customFormat="false" ht="23.85" hidden="false" customHeight="false" outlineLevel="0" collapsed="false">
      <c r="A3" s="14" t="s">
        <v>96</v>
      </c>
      <c r="B3" s="14" t="s">
        <v>96</v>
      </c>
      <c r="C3" s="15" t="s">
        <v>569</v>
      </c>
      <c r="D3" s="15" t="s">
        <v>570</v>
      </c>
      <c r="E3" s="15" t="s">
        <v>571</v>
      </c>
      <c r="F3" s="15" t="s">
        <v>572</v>
      </c>
      <c r="G3" s="15" t="s">
        <v>573</v>
      </c>
      <c r="H3" s="15" t="s">
        <v>574</v>
      </c>
      <c r="I3" s="15" t="s">
        <v>575</v>
      </c>
    </row>
    <row r="4" customFormat="false" ht="23.85" hidden="false" customHeight="false" outlineLevel="0" collapsed="false">
      <c r="A4" s="14" t="s">
        <v>576</v>
      </c>
      <c r="B4" s="14" t="s">
        <v>96</v>
      </c>
      <c r="C4" s="15" t="s">
        <v>577</v>
      </c>
      <c r="D4" s="15" t="s">
        <v>578</v>
      </c>
      <c r="E4" s="15" t="s">
        <v>579</v>
      </c>
      <c r="F4" s="15" t="s">
        <v>580</v>
      </c>
      <c r="G4" s="15" t="s">
        <v>581</v>
      </c>
      <c r="H4" s="15" t="s">
        <v>582</v>
      </c>
      <c r="I4" s="15" t="s">
        <v>583</v>
      </c>
    </row>
    <row r="5" customFormat="false" ht="23.85" hidden="false" customHeight="false" outlineLevel="0" collapsed="false">
      <c r="A5" s="14" t="s">
        <v>540</v>
      </c>
      <c r="B5" s="14" t="s">
        <v>96</v>
      </c>
      <c r="C5" s="15" t="s">
        <v>584</v>
      </c>
      <c r="D5" s="15" t="s">
        <v>585</v>
      </c>
      <c r="E5" s="15" t="s">
        <v>586</v>
      </c>
      <c r="F5" s="15" t="s">
        <v>587</v>
      </c>
      <c r="G5" s="15" t="s">
        <v>588</v>
      </c>
      <c r="H5" s="15" t="s">
        <v>589</v>
      </c>
      <c r="I5" s="15" t="s">
        <v>590</v>
      </c>
    </row>
    <row r="6" customFormat="false" ht="23.85" hidden="false" customHeight="false" outlineLevel="0" collapsed="false">
      <c r="A6" s="14" t="s">
        <v>591</v>
      </c>
      <c r="B6" s="14" t="s">
        <v>96</v>
      </c>
      <c r="C6" s="15" t="s">
        <v>592</v>
      </c>
      <c r="D6" s="15" t="s">
        <v>593</v>
      </c>
      <c r="E6" s="15" t="s">
        <v>594</v>
      </c>
      <c r="F6" s="15" t="s">
        <v>595</v>
      </c>
      <c r="G6" s="15" t="s">
        <v>573</v>
      </c>
      <c r="H6" s="15" t="s">
        <v>76</v>
      </c>
      <c r="I6" s="15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44"/>
    <col collapsed="false" customWidth="true" hidden="false" outlineLevel="0" max="8" min="8" style="0" width="46"/>
  </cols>
  <sheetData>
    <row r="1" customFormat="false" ht="31.5" hidden="false" customHeight="true" outlineLevel="0" collapsed="false">
      <c r="A1" s="7" t="s">
        <v>51</v>
      </c>
      <c r="B1" s="7" t="s">
        <v>597</v>
      </c>
      <c r="C1" s="7" t="s">
        <v>598</v>
      </c>
      <c r="D1" s="7" t="s">
        <v>599</v>
      </c>
      <c r="E1" s="7" t="s">
        <v>600</v>
      </c>
      <c r="F1" s="7" t="s">
        <v>601</v>
      </c>
      <c r="G1" s="7" t="s">
        <v>602</v>
      </c>
      <c r="H1" s="7" t="s">
        <v>79</v>
      </c>
    </row>
    <row r="2" customFormat="false" ht="23.85" hidden="false" customHeight="false" outlineLevel="0" collapsed="false">
      <c r="A2" s="15" t="s">
        <v>603</v>
      </c>
      <c r="B2" s="15" t="s">
        <v>604</v>
      </c>
      <c r="C2" s="14" t="s">
        <v>96</v>
      </c>
      <c r="D2" s="15" t="s">
        <v>605</v>
      </c>
      <c r="E2" s="15" t="s">
        <v>606</v>
      </c>
      <c r="F2" s="15" t="s">
        <v>607</v>
      </c>
      <c r="G2" s="15" t="s">
        <v>608</v>
      </c>
      <c r="H2" s="15" t="s">
        <v>609</v>
      </c>
    </row>
    <row r="3" customFormat="false" ht="23.85" hidden="false" customHeight="false" outlineLevel="0" collapsed="false">
      <c r="A3" s="15" t="s">
        <v>56</v>
      </c>
      <c r="B3" s="15" t="s">
        <v>610</v>
      </c>
      <c r="C3" s="14" t="s">
        <v>96</v>
      </c>
      <c r="D3" s="15" t="s">
        <v>611</v>
      </c>
      <c r="E3" s="15" t="s">
        <v>612</v>
      </c>
      <c r="F3" s="15" t="s">
        <v>613</v>
      </c>
      <c r="G3" s="15" t="s">
        <v>614</v>
      </c>
      <c r="H3" s="15" t="s">
        <v>615</v>
      </c>
    </row>
    <row r="4" customFormat="false" ht="23.85" hidden="false" customHeight="false" outlineLevel="0" collapsed="false">
      <c r="A4" s="15" t="s">
        <v>616</v>
      </c>
      <c r="B4" s="15" t="s">
        <v>617</v>
      </c>
      <c r="C4" s="14" t="s">
        <v>85</v>
      </c>
      <c r="D4" s="15" t="s">
        <v>618</v>
      </c>
      <c r="E4" s="15" t="s">
        <v>619</v>
      </c>
      <c r="F4" s="15" t="s">
        <v>620</v>
      </c>
      <c r="G4" s="15" t="s">
        <v>621</v>
      </c>
      <c r="H4" s="15" t="s">
        <v>622</v>
      </c>
    </row>
    <row r="5" customFormat="false" ht="23.85" hidden="false" customHeight="false" outlineLevel="0" collapsed="false">
      <c r="A5" s="15" t="s">
        <v>623</v>
      </c>
      <c r="B5" s="15" t="s">
        <v>624</v>
      </c>
      <c r="C5" s="14" t="s">
        <v>96</v>
      </c>
      <c r="D5" s="15" t="s">
        <v>625</v>
      </c>
      <c r="E5" s="15" t="s">
        <v>626</v>
      </c>
      <c r="F5" s="15" t="s">
        <v>627</v>
      </c>
      <c r="G5" s="15" t="s">
        <v>628</v>
      </c>
      <c r="H5" s="15" t="s">
        <v>629</v>
      </c>
    </row>
    <row r="6" customFormat="false" ht="23.85" hidden="false" customHeight="false" outlineLevel="0" collapsed="false">
      <c r="A6" s="15" t="s">
        <v>630</v>
      </c>
      <c r="B6" s="15" t="s">
        <v>631</v>
      </c>
      <c r="C6" s="14" t="s">
        <v>632</v>
      </c>
      <c r="D6" s="15" t="s">
        <v>633</v>
      </c>
      <c r="E6" s="15" t="s">
        <v>634</v>
      </c>
      <c r="F6" s="15" t="s">
        <v>635</v>
      </c>
      <c r="G6" s="15" t="s">
        <v>636</v>
      </c>
      <c r="H6" s="15" t="s">
        <v>637</v>
      </c>
    </row>
    <row r="7" customFormat="false" ht="15" hidden="false" customHeight="false" outlineLevel="0" collapsed="false">
      <c r="A7" s="15" t="s">
        <v>57</v>
      </c>
      <c r="B7" s="15" t="s">
        <v>638</v>
      </c>
      <c r="C7" s="14" t="s">
        <v>96</v>
      </c>
      <c r="D7" s="15" t="s">
        <v>639</v>
      </c>
      <c r="E7" s="15" t="s">
        <v>640</v>
      </c>
      <c r="F7" s="15" t="s">
        <v>641</v>
      </c>
      <c r="G7" s="15" t="s">
        <v>642</v>
      </c>
      <c r="H7" s="15" t="s">
        <v>643</v>
      </c>
    </row>
    <row r="8" customFormat="false" ht="23.85" hidden="false" customHeight="false" outlineLevel="0" collapsed="false">
      <c r="A8" s="15" t="s">
        <v>58</v>
      </c>
      <c r="B8" s="15" t="s">
        <v>644</v>
      </c>
      <c r="C8" s="14" t="s">
        <v>645</v>
      </c>
      <c r="D8" s="15" t="s">
        <v>646</v>
      </c>
      <c r="E8" s="15" t="s">
        <v>540</v>
      </c>
      <c r="F8" s="15" t="s">
        <v>647</v>
      </c>
      <c r="G8" s="15" t="s">
        <v>648</v>
      </c>
      <c r="H8" s="15" t="s">
        <v>649</v>
      </c>
    </row>
    <row r="9" customFormat="false" ht="23.85" hidden="false" customHeight="false" outlineLevel="0" collapsed="false">
      <c r="A9" s="15" t="s">
        <v>650</v>
      </c>
      <c r="B9" s="15" t="s">
        <v>651</v>
      </c>
      <c r="C9" s="14" t="s">
        <v>96</v>
      </c>
      <c r="D9" s="15" t="s">
        <v>652</v>
      </c>
      <c r="E9" s="15" t="s">
        <v>390</v>
      </c>
      <c r="F9" s="15" t="s">
        <v>653</v>
      </c>
      <c r="G9" s="15" t="s">
        <v>654</v>
      </c>
      <c r="H9" s="15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7" t="s">
        <v>656</v>
      </c>
      <c r="B1" s="7" t="s">
        <v>657</v>
      </c>
      <c r="C1" s="7" t="s">
        <v>658</v>
      </c>
      <c r="D1" s="7" t="s">
        <v>659</v>
      </c>
      <c r="E1" s="7" t="s">
        <v>660</v>
      </c>
      <c r="F1" s="7" t="s">
        <v>661</v>
      </c>
      <c r="G1" s="7" t="s">
        <v>662</v>
      </c>
      <c r="H1" s="7" t="s">
        <v>663</v>
      </c>
      <c r="I1" s="7" t="s">
        <v>664</v>
      </c>
    </row>
    <row r="2" customFormat="false" ht="35.05" hidden="false" customHeight="false" outlineLevel="0" collapsed="false">
      <c r="A2" s="14" t="s">
        <v>237</v>
      </c>
      <c r="B2" s="15" t="s">
        <v>665</v>
      </c>
      <c r="C2" s="15" t="s">
        <v>666</v>
      </c>
      <c r="D2" s="15" t="s">
        <v>667</v>
      </c>
      <c r="E2" s="15" t="s">
        <v>668</v>
      </c>
      <c r="F2" s="16" t="n">
        <v>6</v>
      </c>
      <c r="G2" s="16" t="n">
        <v>25</v>
      </c>
      <c r="H2" s="21" t="n">
        <f aca="false">IF(F2=0,0,G2/F2)</f>
        <v>4.16666666666667</v>
      </c>
      <c r="I2" s="15" t="s">
        <v>669</v>
      </c>
    </row>
    <row r="3" customFormat="false" ht="23.85" hidden="false" customHeight="false" outlineLevel="0" collapsed="false">
      <c r="A3" s="14" t="s">
        <v>246</v>
      </c>
      <c r="B3" s="15" t="s">
        <v>670</v>
      </c>
      <c r="C3" s="15" t="s">
        <v>666</v>
      </c>
      <c r="D3" s="15" t="s">
        <v>671</v>
      </c>
      <c r="E3" s="15" t="s">
        <v>672</v>
      </c>
      <c r="F3" s="16" t="n">
        <v>9</v>
      </c>
      <c r="G3" s="16" t="n">
        <v>40</v>
      </c>
      <c r="H3" s="21" t="n">
        <f aca="false">IF(F3=0,0,G3/F3)</f>
        <v>4.44444444444445</v>
      </c>
      <c r="I3" s="15" t="s">
        <v>673</v>
      </c>
    </row>
    <row r="4" customFormat="false" ht="35.05" hidden="false" customHeight="false" outlineLevel="0" collapsed="false">
      <c r="A4" s="14" t="s">
        <v>262</v>
      </c>
      <c r="B4" s="15" t="s">
        <v>674</v>
      </c>
      <c r="C4" s="15" t="s">
        <v>675</v>
      </c>
      <c r="D4" s="15" t="s">
        <v>676</v>
      </c>
      <c r="E4" s="15" t="s">
        <v>677</v>
      </c>
      <c r="F4" s="16" t="n">
        <v>10</v>
      </c>
      <c r="G4" s="16" t="n">
        <v>45</v>
      </c>
      <c r="H4" s="21" t="n">
        <f aca="false">IF(F4=0,0,G4/F4)</f>
        <v>4.5</v>
      </c>
      <c r="I4" s="15" t="s">
        <v>678</v>
      </c>
    </row>
    <row r="6" customFormat="false" ht="15" hidden="false" customHeight="false" outlineLevel="0" collapsed="false">
      <c r="A6" s="2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8"/>
  </cols>
  <sheetData>
    <row r="1" customFormat="false" ht="31.5" hidden="false" customHeight="true" outlineLevel="0" collapsed="false">
      <c r="A1" s="7" t="s">
        <v>67</v>
      </c>
      <c r="B1" s="7" t="s">
        <v>680</v>
      </c>
      <c r="C1" s="7" t="s">
        <v>681</v>
      </c>
      <c r="D1" s="7" t="s">
        <v>598</v>
      </c>
      <c r="E1" s="7" t="s">
        <v>682</v>
      </c>
    </row>
    <row r="2" customFormat="false" ht="23.85" hidden="false" customHeight="false" outlineLevel="0" collapsed="false">
      <c r="A2" s="15" t="s">
        <v>683</v>
      </c>
      <c r="B2" s="15" t="s">
        <v>684</v>
      </c>
      <c r="C2" s="15" t="s">
        <v>685</v>
      </c>
      <c r="D2" s="14" t="s">
        <v>686</v>
      </c>
      <c r="E2" s="15" t="s">
        <v>687</v>
      </c>
    </row>
    <row r="3" customFormat="false" ht="23.85" hidden="false" customHeight="false" outlineLevel="0" collapsed="false">
      <c r="A3" s="15" t="s">
        <v>688</v>
      </c>
      <c r="B3" s="15" t="s">
        <v>689</v>
      </c>
      <c r="C3" s="15" t="s">
        <v>690</v>
      </c>
      <c r="D3" s="14" t="s">
        <v>691</v>
      </c>
      <c r="E3" s="15" t="s">
        <v>692</v>
      </c>
    </row>
    <row r="4" customFormat="false" ht="23.85" hidden="false" customHeight="false" outlineLevel="0" collapsed="false">
      <c r="A4" s="15" t="s">
        <v>693</v>
      </c>
      <c r="B4" s="15" t="s">
        <v>694</v>
      </c>
      <c r="C4" s="15" t="s">
        <v>695</v>
      </c>
      <c r="D4" s="14" t="s">
        <v>696</v>
      </c>
      <c r="E4" s="15" t="s">
        <v>697</v>
      </c>
    </row>
    <row r="5" customFormat="false" ht="23.85" hidden="false" customHeight="false" outlineLevel="0" collapsed="false">
      <c r="A5" s="15" t="s">
        <v>698</v>
      </c>
      <c r="B5" s="15" t="s">
        <v>699</v>
      </c>
      <c r="C5" s="15" t="s">
        <v>700</v>
      </c>
      <c r="D5" s="14" t="s">
        <v>198</v>
      </c>
      <c r="E5" s="15" t="s">
        <v>701</v>
      </c>
    </row>
    <row r="6" customFormat="false" ht="23.85" hidden="false" customHeight="false" outlineLevel="0" collapsed="false">
      <c r="A6" s="15" t="s">
        <v>702</v>
      </c>
      <c r="B6" s="15" t="s">
        <v>703</v>
      </c>
      <c r="C6" s="15" t="s">
        <v>704</v>
      </c>
      <c r="D6" s="14" t="s">
        <v>705</v>
      </c>
      <c r="E6" s="15" t="s">
        <v>706</v>
      </c>
    </row>
    <row r="7" customFormat="false" ht="23.85" hidden="false" customHeight="false" outlineLevel="0" collapsed="false">
      <c r="A7" s="15" t="s">
        <v>707</v>
      </c>
      <c r="B7" s="15" t="s">
        <v>708</v>
      </c>
      <c r="C7" s="15" t="s">
        <v>709</v>
      </c>
      <c r="D7" s="14" t="s">
        <v>710</v>
      </c>
      <c r="E7" s="15" t="s">
        <v>711</v>
      </c>
    </row>
    <row r="8" customFormat="false" ht="15" hidden="false" customHeight="false" outlineLevel="0" collapsed="false">
      <c r="A8" s="15" t="s">
        <v>712</v>
      </c>
      <c r="B8" s="15" t="s">
        <v>713</v>
      </c>
      <c r="C8" s="15" t="s">
        <v>714</v>
      </c>
      <c r="D8" s="14" t="s">
        <v>715</v>
      </c>
      <c r="E8" s="15" t="s">
        <v>716</v>
      </c>
    </row>
    <row r="9" customFormat="false" ht="15" hidden="false" customHeight="false" outlineLevel="0" collapsed="false">
      <c r="A9" s="15" t="s">
        <v>717</v>
      </c>
      <c r="B9" s="15" t="s">
        <v>718</v>
      </c>
      <c r="C9" s="15" t="s">
        <v>719</v>
      </c>
      <c r="D9" s="14" t="s">
        <v>720</v>
      </c>
      <c r="E9" s="15" t="s">
        <v>721</v>
      </c>
    </row>
    <row r="10" customFormat="false" ht="23.85" hidden="false" customHeight="false" outlineLevel="0" collapsed="false">
      <c r="A10" s="15" t="s">
        <v>722</v>
      </c>
      <c r="B10" s="15" t="s">
        <v>723</v>
      </c>
      <c r="C10" s="15" t="s">
        <v>714</v>
      </c>
      <c r="D10" s="14" t="s">
        <v>724</v>
      </c>
      <c r="E10" s="15" t="s">
        <v>725</v>
      </c>
    </row>
    <row r="11" customFormat="false" ht="23.85" hidden="false" customHeight="false" outlineLevel="0" collapsed="false">
      <c r="A11" s="15" t="s">
        <v>726</v>
      </c>
      <c r="B11" s="15" t="s">
        <v>727</v>
      </c>
      <c r="C11" s="15" t="s">
        <v>728</v>
      </c>
      <c r="D11" s="14" t="s">
        <v>89</v>
      </c>
      <c r="E11" s="15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7" t="s">
        <v>730</v>
      </c>
      <c r="B1" s="7" t="s">
        <v>731</v>
      </c>
      <c r="C1" s="7" t="s">
        <v>63</v>
      </c>
      <c r="D1" s="7" t="s">
        <v>732</v>
      </c>
    </row>
    <row r="2" customFormat="false" ht="15" hidden="false" customHeight="false" outlineLevel="0" collapsed="false">
      <c r="A2" s="15" t="s">
        <v>733</v>
      </c>
      <c r="B2" s="15" t="s">
        <v>734</v>
      </c>
      <c r="C2" s="14" t="s">
        <v>735</v>
      </c>
      <c r="D2" s="15" t="s">
        <v>736</v>
      </c>
    </row>
    <row r="3" customFormat="false" ht="15" hidden="false" customHeight="false" outlineLevel="0" collapsed="false">
      <c r="A3" s="15" t="s">
        <v>737</v>
      </c>
      <c r="B3" s="15" t="s">
        <v>738</v>
      </c>
      <c r="C3" s="14" t="s">
        <v>739</v>
      </c>
      <c r="D3" s="15" t="s">
        <v>740</v>
      </c>
    </row>
    <row r="4" customFormat="false" ht="15" hidden="false" customHeight="false" outlineLevel="0" collapsed="false">
      <c r="A4" s="15" t="s">
        <v>741</v>
      </c>
      <c r="B4" s="15" t="s">
        <v>742</v>
      </c>
      <c r="C4" s="14" t="s">
        <v>237</v>
      </c>
      <c r="D4" s="15" t="s">
        <v>743</v>
      </c>
    </row>
    <row r="5" customFormat="false" ht="15" hidden="false" customHeight="false" outlineLevel="0" collapsed="false">
      <c r="A5" s="15" t="s">
        <v>744</v>
      </c>
      <c r="B5" s="15" t="s">
        <v>745</v>
      </c>
      <c r="C5" s="14" t="s">
        <v>735</v>
      </c>
      <c r="D5" s="15" t="s">
        <v>746</v>
      </c>
    </row>
    <row r="6" customFormat="false" ht="15" hidden="false" customHeight="false" outlineLevel="0" collapsed="false">
      <c r="A6" s="15" t="s">
        <v>747</v>
      </c>
      <c r="B6" s="15" t="s">
        <v>748</v>
      </c>
      <c r="C6" s="14" t="s">
        <v>237</v>
      </c>
      <c r="D6" s="15" t="s">
        <v>749</v>
      </c>
    </row>
    <row r="7" customFormat="false" ht="15" hidden="false" customHeight="false" outlineLevel="0" collapsed="false">
      <c r="A7" s="15" t="s">
        <v>750</v>
      </c>
      <c r="B7" s="15" t="s">
        <v>751</v>
      </c>
      <c r="C7" s="14" t="s">
        <v>262</v>
      </c>
      <c r="D7" s="15" t="s">
        <v>752</v>
      </c>
    </row>
    <row r="8" customFormat="false" ht="15" hidden="false" customHeight="false" outlineLevel="0" collapsed="false">
      <c r="A8" s="15" t="s">
        <v>753</v>
      </c>
      <c r="B8" s="15" t="s">
        <v>754</v>
      </c>
      <c r="C8" s="14" t="s">
        <v>262</v>
      </c>
      <c r="D8" s="15" t="s">
        <v>755</v>
      </c>
    </row>
    <row r="9" customFormat="false" ht="15" hidden="false" customHeight="false" outlineLevel="0" collapsed="false">
      <c r="A9" s="15" t="s">
        <v>756</v>
      </c>
      <c r="B9" s="15" t="s">
        <v>757</v>
      </c>
      <c r="C9" s="14" t="s">
        <v>246</v>
      </c>
      <c r="D9" s="15" t="s">
        <v>758</v>
      </c>
    </row>
    <row r="10" customFormat="false" ht="15" hidden="false" customHeight="false" outlineLevel="0" collapsed="false">
      <c r="A10" s="15" t="s">
        <v>759</v>
      </c>
      <c r="B10" s="15" t="s">
        <v>760</v>
      </c>
      <c r="C10" s="14" t="s">
        <v>246</v>
      </c>
      <c r="D10" s="15" t="s">
        <v>761</v>
      </c>
    </row>
    <row r="11" customFormat="false" ht="23.85" hidden="false" customHeight="false" outlineLevel="0" collapsed="false">
      <c r="A11" s="15" t="s">
        <v>762</v>
      </c>
      <c r="B11" s="15" t="s">
        <v>763</v>
      </c>
      <c r="C11" s="14" t="s">
        <v>735</v>
      </c>
      <c r="D11" s="15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7" t="s">
        <v>765</v>
      </c>
      <c r="B1" s="7" t="s">
        <v>766</v>
      </c>
      <c r="C1" s="7" t="s">
        <v>767</v>
      </c>
      <c r="D1" s="7" t="s">
        <v>768</v>
      </c>
      <c r="E1" s="7" t="s">
        <v>769</v>
      </c>
    </row>
    <row r="2" customFormat="false" ht="23.85" hidden="false" customHeight="false" outlineLevel="0" collapsed="false">
      <c r="A2" s="14" t="s">
        <v>770</v>
      </c>
      <c r="B2" s="15" t="s">
        <v>771</v>
      </c>
      <c r="C2" s="14" t="s">
        <v>772</v>
      </c>
      <c r="D2" s="15" t="s">
        <v>773</v>
      </c>
      <c r="E2" s="15" t="s">
        <v>774</v>
      </c>
    </row>
    <row r="3" customFormat="false" ht="23.85" hidden="false" customHeight="false" outlineLevel="0" collapsed="false">
      <c r="A3" s="14" t="s">
        <v>775</v>
      </c>
      <c r="B3" s="15" t="s">
        <v>776</v>
      </c>
      <c r="C3" s="14" t="s">
        <v>777</v>
      </c>
      <c r="D3" s="15" t="s">
        <v>778</v>
      </c>
      <c r="E3" s="15" t="s">
        <v>779</v>
      </c>
    </row>
    <row r="4" customFormat="false" ht="23.85" hidden="false" customHeight="false" outlineLevel="0" collapsed="false">
      <c r="A4" s="14" t="s">
        <v>780</v>
      </c>
      <c r="B4" s="15" t="s">
        <v>781</v>
      </c>
      <c r="C4" s="14" t="s">
        <v>782</v>
      </c>
      <c r="D4" s="15" t="s">
        <v>783</v>
      </c>
      <c r="E4" s="15" t="s">
        <v>784</v>
      </c>
    </row>
    <row r="5" customFormat="false" ht="15" hidden="false" customHeight="false" outlineLevel="0" collapsed="false">
      <c r="A5" s="14" t="s">
        <v>785</v>
      </c>
      <c r="B5" s="15" t="s">
        <v>786</v>
      </c>
      <c r="C5" s="14" t="s">
        <v>787</v>
      </c>
      <c r="D5" s="15" t="s">
        <v>788</v>
      </c>
      <c r="E5" s="15" t="s">
        <v>789</v>
      </c>
    </row>
    <row r="6" customFormat="false" ht="23.85" hidden="false" customHeight="false" outlineLevel="0" collapsed="false">
      <c r="A6" s="14" t="s">
        <v>790</v>
      </c>
      <c r="B6" s="15" t="s">
        <v>791</v>
      </c>
      <c r="C6" s="14" t="s">
        <v>792</v>
      </c>
      <c r="D6" s="15" t="s">
        <v>793</v>
      </c>
      <c r="E6" s="15" t="s">
        <v>794</v>
      </c>
    </row>
    <row r="7" customFormat="false" ht="15" hidden="false" customHeight="false" outlineLevel="0" collapsed="false">
      <c r="A7" s="14" t="s">
        <v>795</v>
      </c>
      <c r="B7" s="15" t="s">
        <v>796</v>
      </c>
      <c r="C7" s="14" t="s">
        <v>797</v>
      </c>
      <c r="D7" s="15" t="s">
        <v>798</v>
      </c>
      <c r="E7" s="15" t="s">
        <v>799</v>
      </c>
    </row>
    <row r="8" customFormat="false" ht="15" hidden="false" customHeight="false" outlineLevel="0" collapsed="false">
      <c r="A8" s="14" t="s">
        <v>800</v>
      </c>
      <c r="B8" s="15" t="s">
        <v>801</v>
      </c>
      <c r="C8" s="14" t="s">
        <v>802</v>
      </c>
      <c r="D8" s="15" t="s">
        <v>803</v>
      </c>
      <c r="E8" s="15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2026-09-27T12:30:49Z</dcterms:created>
  <dc:creator>openpyxl</dc:creator>
  <dc:description/>
  <dc:language>en-US</dc:language>
  <cp:lastModifiedBy/>
  <dcterms:modified xsi:type="dcterms:W3CDTF">2026-09-27T12:30:49Z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